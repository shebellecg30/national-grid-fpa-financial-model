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43077aab1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714b784b612748b3"/>
    <x:sheet xmlns:r="http://schemas.openxmlformats.org/officeDocument/2006/relationships" name="01_CONTROL" sheetId="2" r:id="R9f3e5435d69d4e29"/>
    <x:sheet xmlns:r="http://schemas.openxmlformats.org/officeDocument/2006/relationships" name="02_RAW_DATA" sheetId="3" r:id="R0f2fb78a267c433b"/>
    <x:sheet xmlns:r="http://schemas.openxmlformats.org/officeDocument/2006/relationships" name="03_HIST_FS" sheetId="4" r:id="R4e5e5811debb4a4c"/>
    <x:sheet xmlns:r="http://schemas.openxmlformats.org/officeDocument/2006/relationships" name="04_DRIVERS" sheetId="5" r:id="Rf1b18f6b0968441a"/>
    <x:sheet xmlns:r="http://schemas.openxmlformats.org/officeDocument/2006/relationships" name="05_INCOME_STATEMENT" sheetId="6" r:id="Rca3760642ebc4346"/>
    <x:sheet xmlns:r="http://schemas.openxmlformats.org/officeDocument/2006/relationships" name="06_BALANCE_SHEET" sheetId="9" r:id="Rfcbf8fb4a3dc4b88"/>
    <x:sheet xmlns:r="http://schemas.openxmlformats.org/officeDocument/2006/relationships" name="07_CASH_FLOW" sheetId="10" r:id="R7f720c5092f44922"/>
    <x:sheet xmlns:r="http://schemas.openxmlformats.org/officeDocument/2006/relationships" name="08_CAPEX_PPE" sheetId="7" r:id="Ra5f87ce47c874a91"/>
    <x:sheet xmlns:r="http://schemas.openxmlformats.org/officeDocument/2006/relationships" name="09_DEBT" sheetId="8" r:id="Red7f0b0b679c4fe7"/>
    <x:sheet xmlns:r="http://schemas.openxmlformats.org/officeDocument/2006/relationships" name="10_FPA_VARIANCE" sheetId="11" r:id="Raf8664a0a77f4684"/>
    <x:sheet xmlns:r="http://schemas.openxmlformats.org/officeDocument/2006/relationships" name="11_KPI_RATIOS" sheetId="12" r:id="R26c68d0f91db4cc9"/>
    <x:sheet xmlns:r="http://schemas.openxmlformats.org/officeDocument/2006/relationships" name="12_SCENARIOS" sheetId="13" r:id="R9e5ce7455a0d42c9"/>
    <x:sheet xmlns:r="http://schemas.openxmlformats.org/officeDocument/2006/relationships" name="13_DCF_VALUATION" sheetId="14" r:id="Rd9719de8479f4833"/>
    <x:sheet xmlns:r="http://schemas.openxmlformats.org/officeDocument/2006/relationships" name="14_DASHBOARD" sheetId="15" r:id="R6e90043fde444564"/>
    <x:sheet xmlns:r="http://schemas.openxmlformats.org/officeDocument/2006/relationships" name="14_DASHBOARD (2)" sheetId="18" r:id="Rab9ed947514042f0"/>
    <x:sheet xmlns:r="http://schemas.openxmlformats.org/officeDocument/2006/relationships" name="15_CHECKS" sheetId="16" r:id="R86be40062d08411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<x:sst xmlns:x="http://schemas.openxmlformats.org/spreadsheetml/2006/main">
  <x:si>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National Grid PLC</x:t>
  </x:si>
  <x:si>
    <x:t xml:space="preserve">FP&amp;A, Three-Statement Financial Model &amp; Valuation Case Study</x:t>
  </x:si>
  <x:si>
    <x:t xml:space="preserve">Model Version</x:t>
  </x:si>
  <x:si>
    <x:t xml:space="preserve">Last updated</x:t>
  </x:si>
  <x:si>
    <x:t xml:space="preserve">Reporting currency</x:t>
  </x:si>
  <x:si>
    <x:t xml:space="preserve">GBP (£m unless otherwise stated)</x:t>
  </x:si>
  <x:si>
    <x:t xml:space="preserve">Historical period</x:t>
  </x:si>
  <x:si>
    <x:t xml:space="preserve">FY2024A - FY2026A</x:t>
  </x:si>
  <x:si>
    <x:t xml:space="preserve">Forecast Period</x:t>
  </x:si>
  <x:si>
    <x:t xml:space="preserve">FY2027E - FY2031E</x:t>
  </x:si>
  <x:si>
    <x:t xml:space="preserve">Fiscal Year End</x:t>
  </x:si>
  <x:si>
    <x:t xml:space="preserve">Model Objective</x:t>
  </x:si>
  <x:si>
    <x:t xml:space="preserve">Build an integrated FP&amp;A and financial modelling case study for National Grid plc using publicly available financial information. The model analyses historical performance, forecasts earnings and cash flows using business-specific operating drivers, models capital investment and financing requirements, evaluates scenarios and sensitivities, and presents key outputs through a management dashboard.</x:t>
  </x:si>
  <x:si>
    <x:t xml:space="preserve">Core model outputs</x:t>
  </x:si>
  <x:si>
    <x:t xml:space="preserve">Historical three-statement analysis</x:t>
  </x:si>
  <x:si>
    <x:t xml:space="preserve">Revenue and operating profit forecasting</x:t>
  </x:si>
  <x:si>
    <x:t xml:space="preserve">Segment analysis</x:t>
  </x:si>
  <x:si>
    <x:t xml:space="preserve">Capital investment and PP&amp;E schedule</x:t>
  </x:si>
  <x:si>
    <x:t xml:space="preserve">Working capital forecasting</x:t>
  </x:si>
  <x:si>
    <x:t xml:space="preserve">Debt and interest schedule</x:t>
  </x:si>
  <x:si>
    <x:t xml:space="preserve">Free cash flow analysis</x:t>
  </x:si>
  <x:si>
    <x:t xml:space="preserve">Actual vs Budget vs Forecast analysis</x:t>
  </x:si>
  <x:si>
    <x:t xml:space="preserve">KPI and ratio analysis</x:t>
  </x:si>
  <x:si>
    <x:t xml:space="preserve">Base / Upside / Downside scenarios</x:t>
  </x:si>
  <x:si>
    <x:t xml:space="preserve">DCF valuation</x:t>
  </x:si>
  <x:si>
    <x:t xml:space="preserve">Sensitivity analysis</x:t>
  </x:si>
  <x:si>
    <x:t xml:space="preserve">Management dashboard</x:t>
  </x:si>
  <x:si>
    <x:t xml:space="preserve">Model integrity checks</x:t>
  </x:si>
  <x:si>
    <x:t xml:space="preserve">Modelling and formatting conventions</x:t>
  </x:si>
  <x:si>
    <x:t xml:space="preserve">Item</x:t>
  </x:si>
  <x:si>
    <x:t xml:space="preserve">Convention</x:t>
  </x:si>
  <x:si>
    <x:t xml:space="preserve">Hardcoded inputs</x:t>
  </x:si>
  <x:si>
    <x:t xml:space="preserve">Blue font</x:t>
  </x:si>
  <x:si>
    <x:t xml:space="preserve">Formulas</x:t>
  </x:si>
  <x:si>
    <x:t xml:space="preserve">Black font</x:t>
  </x:si>
  <x:si>
    <x:t xml:space="preserve">Links to other worksheets</x:t>
  </x:si>
  <x:si>
    <x:t xml:space="preserve">Green font</x:t>
  </x:si>
  <x:si>
    <x:t xml:space="preserve">Key assumptions</x:t>
  </x:si>
  <x:si>
    <x:t xml:space="preserve">Blue font with pale yellow fill</x:t>
  </x:si>
  <x:si>
    <x:t xml:space="preserve">Negative values</x:t>
  </x:si>
  <x:si>
    <x:r>
      <x:t xml:space="preserve">Display in brackets, e.g. </x:t>
    </x:r>
    <x:r>
      <x:rPr>
        <x:sz val="10"/>
        <x:color theme="1"/>
        <x:rFont val="Arial Unicode MS"/>
        <x:family val="2"/>
      </x:rPr>
      <x:t xml:space="preserve">(1,705)</x:t>
    </x:r>
  </x:si>
  <x:si>
    <x:t xml:space="preserve">Zero values</x:t>
  </x:si>
  <x:si>
    <x:r>
      <x:t xml:space="preserve">Display as (</x:t>
    </x:r>
    <x:r>
      <x:rPr>
        <x:sz val="10"/>
        <x:color theme="1"/>
        <x:rFont val="Arial Unicode MS"/>
        <x:family val="2"/>
      </x:rPr>
      <x:t xml:space="preserve">-)</x:t>
    </x:r>
  </x:si>
  <x:si>
    <x:t xml:space="preserve">Financial units</x:t>
  </x:si>
  <x:si>
    <x:t xml:space="preserve">£m unless otherwise stated</x:t>
  </x:si>
  <x:si>
    <x:t xml:space="preserve">Historical years</x:t>
  </x:si>
  <x:si>
    <x:r>
      <x:t xml:space="preserve">Marked with </x:t>
    </x:r>
    <x:r>
      <x:rPr>
        <x:sz val="10"/>
        <x:color theme="1"/>
        <x:rFont val="Arial Unicode MS"/>
        <x:family val="2"/>
      </x:rPr>
      <x:t xml:space="preserve">A</x:t>
    </x:r>
  </x:si>
  <x:si>
    <x:t xml:space="preserve">Forecast years</x:t>
  </x:si>
  <x:si>
    <x:r>
      <x:t xml:space="preserve">Marked with </x:t>
    </x:r>
    <x:r>
      <x:rPr>
        <x:sz val="10"/>
        <x:color theme="1"/>
        <x:rFont val="Arial Unicode MS"/>
        <x:family val="2"/>
      </x:rPr>
      <x:t xml:space="preserve">E</x:t>
    </x:r>
  </x:si>
  <x:si>
    <x:t xml:space="preserve">NATIONAL GRID PLC — MODEL CONTROL</x:t>
  </x:si>
  <x:si>
    <x:t xml:space="preserve">Active Scenario</x:t>
  </x:si>
  <x:si>
    <x:t xml:space="preserve">Base</x:t>
  </x:si>
  <x:si>
    <x:t xml:space="preserve">Reporting Currency</x:t>
  </x:si>
  <x:si>
    <x:t xml:space="preserve">GBP</x:t>
  </x:si>
  <x:si>
    <x:t xml:space="preserve">Upside</x:t>
  </x:si>
  <x:si>
    <x:t xml:space="preserve">Financial Units</x:t>
  </x:si>
  <x:si>
    <x:t xml:space="preserve">£m</x:t>
  </x:si>
  <x:si>
    <x:t xml:space="preserve">Dowside</x:t>
  </x:si>
  <x:si>
    <x:t xml:space="preserve">Last Historical Year</x:t>
  </x:si>
  <x:si>
    <x:t xml:space="preserve">Forecast start year</x:t>
  </x:si>
  <x:si>
    <x:t xml:space="preserve">Forecast end year</x:t>
  </x:si>
  <x:si>
    <x:t xml:space="preserve">NATIONAL GRID PLC — RAW FINANCIAL DATA</x:t>
  </x:si>
  <x:si>
    <x:t xml:space="preserve">Primary Source</x:t>
  </x:si>
  <x:si>
    <x:t xml:space="preserve">National Grid plc Annual Report and Accounts 2025/26</x:t>
  </x:si>
  <x:si>
    <x:t xml:space="preserve">CONSOLIDATED INCOME STATEMENT</x:t>
  </x:si>
  <x:si>
    <x:t xml:space="preserve">Income Statement (£m)</x:t>
  </x:si>
  <x:si>
    <x:t xml:space="preserve">FY2024A</x:t>
  </x:si>
  <x:si>
    <x:t xml:space="preserve">FY2025A</x:t>
  </x:si>
  <x:si>
    <x:t xml:space="preserve">FY2026A</x:t>
  </x:si>
  <x:si>
    <x:t xml:space="preserve">Revenue</x:t>
  </x:si>
  <x:si>
    <x:t xml:space="preserve">Impairment losses on financial assets</x:t>
  </x:si>
  <x:si>
    <x:t xml:space="preserve">Other operating costs</x:t>
  </x:si>
  <x:si>
    <x:t xml:space="preserve">Other operating income</x:t>
  </x:si>
  <x:si>
    <x:t xml:space="preserve">Operating profit</x:t>
  </x:si>
  <x:si>
    <x:t xml:space="preserve">Finance income</x:t>
  </x:si>
  <x:si>
    <x:t xml:space="preserve">Finance costs</x:t>
  </x:si>
  <x:si>
    <x:t xml:space="preserve">Share of JV &amp; associate results</x:t>
  </x:si>
  <x:si>
    <x:t xml:space="preserve">Profit before tax</x:t>
  </x:si>
  <x:si>
    <x:t xml:space="preserve">Tax</x:t>
  </x:si>
  <x:si>
    <x:t xml:space="preserve">Profit after tax – continuing operations</x:t>
  </x:si>
  <x:si>
    <x:t xml:space="preserve">Profit after tax – discontinued operations</x:t>
  </x:si>
  <x:si>
    <x:t xml:space="preserve">Total profit for the year</x:t>
  </x:si>
  <x:si>
    <x:t xml:space="preserve">CONSOLIDATED BALANCE SHEET</x:t>
  </x:si>
  <x:si>
    <x:t xml:space="preserve">Balance Sheet</x:t>
  </x:si>
  <x:si>
    <x:t xml:space="preserve">ASSETS</x:t>
  </x:si>
  <x:si>
    <x:t xml:space="preserve">Non-Current Assets</x:t>
  </x:si>
  <x:si>
    <x:t xml:space="preserve">Goodwill</x:t>
  </x:si>
  <x:si>
    <x:t xml:space="preserve">Other intangible assets</x:t>
  </x:si>
  <x:si>
    <x:t xml:space="preserve">Property, plant &amp; equipment</x:t>
  </x:si>
  <x:si>
    <x:t xml:space="preserve">Other non-current assets</x:t>
  </x:si>
  <x:si>
    <x:t xml:space="preserve">Pension assets</x:t>
  </x:si>
  <x:si>
    <x:t xml:space="preserve">Financial &amp; other investments</x:t>
  </x:si>
  <x:si>
    <x:t xml:space="preserve">Investments in JV &amp; associates</x:t>
  </x:si>
  <x:si>
    <x:t xml:space="preserve">Derivative financial assets – non-current</x:t>
  </x:si>
  <x:si>
    <x:t xml:space="preserve">Total non-current assets</x:t>
  </x:si>
  <x:si>
    <x:t xml:space="preserve">Current Assets</x:t>
  </x:si>
  <x:si>
    <x:t xml:space="preserve">Inventories</x:t>
  </x:si>
  <x:si>
    <x:t xml:space="preserve">Trade &amp; other receivables</x:t>
  </x:si>
  <x:si>
    <x:t xml:space="preserve">Current tax assets</x:t>
  </x:si>
  <x:si>
    <x:t xml:space="preserve">Financial &amp; other investments – current</x:t>
  </x:si>
  <x:si>
    <x:t xml:space="preserve">Derivative financial assets – current</x:t>
  </x:si>
  <x:si>
    <x:t xml:space="preserve">Cash &amp; cash equivalents</x:t>
  </x:si>
  <x:si>
    <x:t xml:space="preserve">Assets held for sale</x:t>
  </x:si>
  <x:si>
    <x:t xml:space="preserve">Total current assets</x:t>
  </x:si>
  <x:si>
    <x:t xml:space="preserve">TOTAL ASSETS</x:t>
  </x:si>
  <x:si>
    <x:t xml:space="preserve">LIABILITIES</x:t>
  </x:si>
  <x:si>
    <x:t xml:space="preserve">Current Liabilities</x:t>
  </x:si>
  <x:si>
    <x:t xml:space="preserve">Current borrowings</x:t>
  </x:si>
  <x:si>
    <x:t xml:space="preserve">Derivative financial liabilities – current</x:t>
  </x:si>
  <x:si>
    <x:t xml:space="preserve">Trade &amp; other payables</x:t>
  </x:si>
  <x:si>
    <x:t xml:space="preserve">Contract liabilities – current</x:t>
  </x:si>
  <x:si>
    <x:t xml:space="preserve">Current tax liabilities</x:t>
  </x:si>
  <x:si>
    <x:t xml:space="preserve">Provisions – current</x:t>
  </x:si>
  <x:si>
    <x:t xml:space="preserve">Liabilities held for sale</x:t>
  </x:si>
  <x:si>
    <x:t xml:space="preserve">Total current liabilities</x:t>
  </x:si>
  <x:si>
    <x:t xml:space="preserve">Non-Current Liabilities</x:t>
  </x:si>
  <x:si>
    <x:t xml:space="preserve">Non-current borrowings</x:t>
  </x:si>
  <x:si>
    <x:t xml:space="preserve">Derivative financial liabilities – non-current</x:t>
  </x:si>
  <x:si>
    <x:t xml:space="preserve">Other non-current liabilities</x:t>
  </x:si>
  <x:si>
    <x:t xml:space="preserve">Contract liabilities – non-current</x:t>
  </x:si>
  <x:si>
    <x:t xml:space="preserve">Deferred tax liabilities</x:t>
  </x:si>
  <x:si>
    <x:t xml:space="preserve">Pension obligations</x:t>
  </x:si>
  <x:si>
    <x:t xml:space="preserve">Provisions – non-current</x:t>
  </x:si>
  <x:si>
    <x:t xml:space="preserve">Total non-current liabilities</x:t>
  </x:si>
  <x:si>
    <x:t xml:space="preserve">TOTAL LIABILITIES</x:t>
  </x:si>
  <x:si>
    <x:t xml:space="preserve">Net Assets</x:t>
  </x:si>
  <x:si>
    <x:t xml:space="preserve">EQUITY</x:t>
  </x:si>
  <x:si>
    <x:t xml:space="preserve">Share capital</x:t>
  </x:si>
  <x:si>
    <x:t xml:space="preserve">Share premium account</x:t>
  </x:si>
  <x:si>
    <x:t xml:space="preserve">Retained earnings</x:t>
  </x:si>
  <x:si>
    <x:t xml:space="preserve">Other equity reserves</x:t>
  </x:si>
  <x:si>
    <x:t xml:space="preserve">Total shareholders' equity</x:t>
  </x:si>
  <x:si>
    <x:t xml:space="preserve">Non-controlling interests</x:t>
  </x:si>
  <x:si>
    <x:t xml:space="preserve">TOTAL EQUITY</x:t>
  </x:si>
  <x:si>
    <x:t xml:space="preserve">CONSOLIDATED CASH FLOW STATEMENT</x:t>
  </x:si>
  <x:si>
    <x:t xml:space="preserve">Cash Flow Statement (£)</x:t>
  </x:si>
  <x:si>
    <x:t xml:space="preserve">OPERATING ACTIVITIES</x:t>
  </x:si>
  <x:si>
    <x:t xml:space="preserve">Operating profit – continuing operations</x:t>
  </x:si>
  <x:si>
    <x:t xml:space="preserve">Exceptional items and remeasurements</x:t>
  </x:si>
  <x:si>
    <x:t xml:space="preserve">Other fair value movements</x:t>
  </x:si>
  <x:si>
    <x:t xml:space="preserve">Depreciation, amortisation &amp; impairment</x:t>
  </x:si>
  <x:si>
    <x:t xml:space="preserve">Share-based payments</x:t>
  </x:si>
  <x:si>
    <x:t xml:space="preserve">Changes in working capital</x:t>
  </x:si>
  <x:si>
    <x:t xml:space="preserve">Changes in provisions</x:t>
  </x:si>
  <x:si>
    <x:t xml:space="preserve">Changes in pensions &amp; post-retirement obligations</x:t>
  </x:si>
  <x:si>
    <x:t xml:space="preserve">Cash flows relating to exceptional items</x:t>
  </x:si>
  <x:si>
    <x:t xml:space="preserve">Cash generated from operations</x:t>
  </x:si>
  <x:si>
    <x:t xml:space="preserve">Tax paid</x:t>
  </x:si>
  <x:si>
    <x:t xml:space="preserve">Net cash inflow from operating activities</x:t>
  </x:si>
  <x:si>
    <x:t xml:space="preserve">INVESTING ACTIVITIES</x:t>
  </x:si>
  <x:si>
    <x:t xml:space="preserve">Purchases of intangible assets</x:t>
  </x:si>
  <x:si>
    <x:t xml:space="preserve">Purchases of property, plant &amp; equipment</x:t>
  </x:si>
  <x:si>
    <x:t xml:space="preserve">Disposals of PP&amp;E</x:t>
  </x:si>
  <x:si>
    <x:t xml:space="preserve">Dividends received from JV, associates &amp; other investments</x:t>
  </x:si>
  <x:si>
    <x:t xml:space="preserve">Disposal of UK Electricity System Operator</x:t>
  </x:si>
  <x:si>
    <x:t xml:space="preserve">Disposal of UK Gas Transmission interest</x:t>
  </x:si>
  <x:si>
    <x:t xml:space="preserve">Disposal of National Grid Renewables</x:t>
  </x:si>
  <x:si>
    <x:t xml:space="preserve">Disposal of Grain LNG</x:t>
  </x:si>
  <x:si>
    <x:t xml:space="preserve">Disposal of financial &amp; other investments</x:t>
  </x:si>
  <x:si>
    <x:t xml:space="preserve">Acquisition of financial investments</x:t>
  </x:si>
  <x:si>
    <x:t xml:space="preserve">Contributions to National Grid Renewables &amp; Emerald Energy Venture LLC</x:t>
  </x:si>
  <x:si>
    <x:t xml:space="preserve">Net movements in short-term financial investments</x:t>
  </x:si>
  <x:si>
    <x:t xml:space="preserve">Interest received</x:t>
  </x:si>
  <x:si>
    <x:t xml:space="preserve">Cash inflows on derivatives</x:t>
  </x:si>
  <x:si>
    <x:t xml:space="preserve">Cash outflows on derivatives</x:t>
  </x:si>
  <x:si>
    <x:t xml:space="preserve">Net cash flow used in investing activities – continuing operations</x:t>
  </x:si>
  <x:si>
    <x:t xml:space="preserve">FINANCING ACTIVITIES</x:t>
  </x:si>
  <x:si>
    <x:t xml:space="preserve">Proceeds of Rights Issue</x:t>
  </x:si>
  <x:si>
    <x:t xml:space="preserve">Rights Issue transaction fees</x:t>
  </x:si>
  <x:si>
    <x:t xml:space="preserve">Proceeds received from loans</x:t>
  </x:si>
  <x:si>
    <x:t xml:space="preserve">Repayment of loans</x:t>
  </x:si>
  <x:si>
    <x:t xml:space="preserve">Payments of lease liabilities</x:t>
  </x:si>
  <x:si>
    <x:t xml:space="preserve">Proceeds from issue of treasury shares</x:t>
  </x:si>
  <x:si>
    <x:t xml:space="preserve">Transactions in own shares</x:t>
  </x:si>
  <x:si>
    <x:t xml:space="preserve">Net movements in short-term borrowings</x:t>
  </x:si>
  <x:si>
    <x:t xml:space="preserve">Interest paid</x:t>
  </x:si>
  <x:si>
    <x:t xml:space="preserve">Dividends paid to shareholders</x:t>
  </x:si>
  <x:si>
    <x:t xml:space="preserve">Net cash flow from/(used in) financing activities</x:t>
  </x:si>
  <x:si>
    <x:t xml:space="preserve">Net increase/(decrease) in cash &amp; cash equivalents</x:t>
  </x:si>
  <x:si>
    <x:t xml:space="preserve">Reclassification to held for sale</x:t>
  </x:si>
  <x:si>
    <x:t xml:space="preserve">Exchange movements</x:t>
  </x:si>
  <x:si>
    <x:t xml:space="preserve">Cash &amp; cash equivalents at start of year</x:t>
  </x:si>
  <x:si>
    <x:t xml:space="preserve">Cash &amp; cash equivalents at end of year</x:t>
  </x:si>
  <x:si>
    <x:t xml:space="preserve">Net cash inflow from investing activities – discontinued operations</x:t>
  </x:si>
  <x:si>
    <x:t xml:space="preserve">NATIONAL GRID PLC — HISTORICAL FINANCIAL STATEMENTS &amp; ANALYSIS</x:t>
  </x:si>
  <x:si>
    <x:t xml:space="preserve">Historical Financials (£m)</x:t>
  </x:si>
  <x:si>
    <x:t xml:space="preserve">INCOME STATEMENT</x:t>
  </x:si>
  <x:si>
    <x:t xml:space="preserve">Revenue growth</x:t>
  </x:si>
  <x:si>
    <x:t xml:space="preserve">Operating margin</x:t>
  </x:si>
  <x:si>
    <x:t xml:space="preserve">PBT margin</x:t>
  </x:si>
  <x:si>
    <x:t xml:space="preserve">Effective tax rate</x:t>
  </x:si>
  <x:si>
    <x:t xml:space="preserve">Net profit margin</x:t>
  </x:si>
  <x:si>
    <x:t xml:space="preserve">BALANCE SHEET</x:t>
  </x:si>
  <x:si>
    <x:t xml:space="preserve">NCI</x:t>
  </x:si>
  <x:si>
    <x:t xml:space="preserve">Balance sheet check</x:t>
  </x:si>
  <x:si>
    <x:t xml:space="preserve">CASH FLOW STATEMENT</x:t>
  </x:si>
  <x:si>
    <x:t xml:space="preserve">Net cash flow used in investing activities</x:t>
  </x:si>
  <x:si>
    <x:t xml:space="preserve">CASH RECONCILIATION</x:t>
  </x:si>
  <x:si>
    <x:t xml:space="preserve">Net operating cash flow – continuing operations</x:t>
  </x:si>
  <x:si>
    <x:t xml:space="preserve">Net investing cash flow – continuing operations</x:t>
  </x:si>
  <x:si>
    <x:t xml:space="preserve">Net investing cash flow – discontinued operations</x:t>
  </x:si>
  <x:si>
    <x:t xml:space="preserve">Net financing cash flow</x:t>
  </x:si>
  <x:si>
    <x:t xml:space="preserve">HISTORICAL CASH FLOW KPIs</x:t>
  </x:si>
  <x:si>
    <x:t xml:space="preserve">Core cash capex</x:t>
  </x:si>
  <x:si>
    <x:t xml:space="preserve">Capex intensity</x:t>
  </x:si>
  <x:si>
    <x:t xml:space="preserve">Free cash flow after core capex</x:t>
  </x:si>
  <x:si>
    <x:t xml:space="preserve">Operating cash conversion</x:t>
  </x:si>
  <x:si>
    <x:t xml:space="preserve">NATIONAL GRID PLC — FORECAST DRIVERS &amp; ASSUMPTIONS</x:t>
  </x:si>
  <x:si>
    <x:t xml:space="preserve">Forecast Drivers</x:t>
  </x:si>
  <x:si>
    <x:t xml:space="preserve">FY2027E</x:t>
  </x:si>
  <x:si>
    <x:t xml:space="preserve">FY2028E</x:t>
  </x:si>
  <x:si>
    <x:t xml:space="preserve">FY2029E</x:t>
  </x:si>
  <x:si>
    <x:t xml:space="preserve">FY2030E</x:t>
  </x:si>
  <x:si>
    <x:t xml:space="preserve">FY2031E</x:t>
  </x:si>
  <x:si>
    <x:t xml:space="preserve">Rationale/source </x:t>
  </x:si>
  <x:si>
    <x:t xml:space="preserve">CORE OPERATING DRIVERS</x:t>
  </x:si>
  <x:si>
    <x:t xml:space="preserve">Model base-case assumption</x:t>
  </x:si>
  <x:si>
    <x:t xml:space="preserve">Normalised statutory tax assumption</x:t>
  </x:si>
  <x:si>
    <x:t xml:space="preserve">Capital Investment (£m)</x:t>
  </x:si>
  <x:si>
    <x:t xml:space="preserve">National Grid FY26 five-year financial framework</x:t>
  </x:si>
  <x:si>
    <x:t xml:space="preserve">Core cash capex (£m)</x:t>
  </x:si>
  <x:si>
    <x:t xml:space="preserve">Derived from FY26 cash capex / capital investment ratio</x:t>
  </x:si>
  <x:si>
    <x:t xml:space="preserve">Model-calculated KPI</x:t>
  </x:si>
  <x:si>
    <x:t xml:space="preserve">Group asset growth</x:t>
  </x:si>
  <x:si>
    <x:t xml:space="preserve">Management guidance: ~10% asset CAGR</x:t>
  </x:si>
  <x:si>
    <x:t xml:space="preserve">Underlying EPS growth – sanity check</x:t>
  </x:si>
  <x:si>
    <x:t xml:space="preserve">FY27 guidance: 13–15%; five-year guidance: 8–10% CAGR</x:t>
  </x:si>
  <x:si>
    <x:t xml:space="preserve">PP&amp;E additions / Capital investment</x:t>
  </x:si>
  <x:si>
    <x:t xml:space="preserve">Depreciation rate on opening PP&amp;E</x:t>
  </x:si>
  <x:si>
    <x:t xml:space="preserve">New borrowings / Capital investment</x:t>
  </x:si>
  <x:si>
    <x:t xml:space="preserve">Debt repayment % of opening debt</x:t>
  </x:si>
  <x:si>
    <x:t xml:space="preserve">Effective interest rate</x:t>
  </x:si>
  <x:si>
    <x:t xml:space="preserve">BALANCE SHEET DRIVERS</x:t>
  </x:si>
  <x:si>
    <x:t xml:space="preserve">FY27E–FY31E</x:t>
  </x:si>
  <x:si>
    <x:t xml:space="preserve">Inventory / Revenue</x:t>
  </x:si>
  <x:si>
    <x:t xml:space="preserve">Receivables / Revenue</x:t>
  </x:si>
  <x:si>
    <x:t xml:space="preserve">Payables / Revenue</x:t>
  </x:si>
  <x:si>
    <x:t xml:space="preserve">Other current assets / Revenue</x:t>
  </x:si>
  <x:si>
    <x:t xml:space="preserve">Intangible asset growth</x:t>
  </x:si>
  <x:si>
    <x:t xml:space="preserve">Other non-current asset growth</x:t>
  </x:si>
  <x:si>
    <x:t xml:space="preserve">Contract liability growth</x:t>
  </x:si>
  <x:si>
    <x:t xml:space="preserve">Deferred tax / PP&amp;E</x:t>
  </x:si>
  <x:si>
    <x:t xml:space="preserve">Provisions &amp; pensions growth</x:t>
  </x:si>
  <x:si>
    <x:t xml:space="preserve">Other liabilities / Revenue</x:t>
  </x:si>
  <x:si>
    <x:t xml:space="preserve">Dividend payout ratio</x:t>
  </x:si>
  <x:si>
    <x:t xml:space="preserve">Minimum cash balance (£m)</x:t>
  </x:si>
  <x:si>
    <x:t xml:space="preserve">Intangible amortisation rate</x:t>
  </x:si>
  <x:si>
    <x:t xml:space="preserve">NATIONAL GRID PLC — INCOME STATEMENT FORECAST</x:t>
  </x:si>
  <x:si>
    <x:t xml:space="preserve">Revenue Growth</x:t>
  </x:si>
  <x:si>
    <x:t xml:space="preserve">Share of JV &amp; associates</x:t>
  </x:si>
  <x:si>
    <x:t xml:space="preserve">Tax expense</x:t>
  </x:si>
  <x:si>
    <x:t xml:space="preserve">Profit after tax</x:t>
  </x:si>
  <x:si>
    <x:t xml:space="preserve">YoY PAT growth</x:t>
  </x:si>
  <x:si>
    <x:t xml:space="preserve">NATIONAL GRID PLC — BALANCE SHEET FORECAST</x:t>
  </x:si>
  <x:si>
    <x:t xml:space="preserve">Balance Sheet (£m)</x:t>
  </x:si>
  <x:si>
    <x:t xml:space="preserve">PP&amp;E</x:t>
  </x:si>
  <x:si>
    <x:t xml:space="preserve">Other current assets</x:t>
  </x:si>
  <x:si>
    <x:t xml:space="preserve">Borrowings</x:t>
  </x:si>
  <x:si>
    <x:t xml:space="preserve">Contract liabilities</x:t>
  </x:si>
  <x:si>
    <x:t xml:space="preserve">Provisions &amp; pensions</x:t>
  </x:si>
  <x:si>
    <x:t xml:space="preserve">Derivatives &amp; other liabilities</x:t>
  </x:si>
  <x:si>
    <x:t xml:space="preserve">Opening equity</x:t>
  </x:si>
  <x:si>
    <x:t xml:space="preserve">Dividends</x:t>
  </x:si>
  <x:si>
    <x:t xml:space="preserve">Other equity movements</x:t>
  </x:si>
  <x:si>
    <x:t xml:space="preserve">Closing equity</x:t>
  </x:si>
  <x:si>
    <x:t xml:space="preserve">TOTAL LIABILITIES &amp; EQUITY</x:t>
  </x:si>
  <x:si>
    <x:t xml:space="preserve">BALANCE CHECK</x:t>
  </x:si>
  <x:si>
    <x:t xml:space="preserve">NATIONAL GRID PLC — CASH FLOW FORECAST</x:t>
  </x:si>
  <x:si>
    <x:t xml:space="preserve">Cash Flow Statement (£m)</x:t>
  </x:si>
  <x:si>
    <x:t xml:space="preserve">Depreciation &amp; amortisation</x:t>
  </x:si>
  <x:si>
    <x:t xml:space="preserve">Working capital movement</x:t>
  </x:si>
  <x:si>
    <x:t xml:space="preserve">Provisions / pensions movement</x:t>
  </x:si>
  <x:si>
    <x:t xml:space="preserve">Other operating adjustments</x:t>
  </x:si>
  <x:si>
    <x:t xml:space="preserve">NET OPERATING CASH FLOW</x:t>
  </x:si>
  <x:si>
    <x:t xml:space="preserve">Purchases of PP&amp;E</x:t>
  </x:si>
  <x:si>
    <x:t xml:space="preserve">Other investing cash flows</x:t>
  </x:si>
  <x:si>
    <x:t xml:space="preserve">NET INVESTING CASH FLOW</x:t>
  </x:si>
  <x:si>
    <x:t xml:space="preserve">New borrowings — base</x:t>
  </x:si>
  <x:si>
    <x:t xml:space="preserve">Additional liquidity funding</x:t>
  </x:si>
  <x:si>
    <x:t xml:space="preserve">-</x:t>
  </x:si>
  <x:si>
    <x:t xml:space="preserve">Debt repayments</x:t>
  </x:si>
  <x:si>
    <x:t xml:space="preserve">Dividends paid</x:t>
  </x:si>
  <x:si>
    <x:t xml:space="preserve">Other financing cash flows</x:t>
  </x:si>
  <x:si>
    <x:t xml:space="preserve">NET FINANCING CASH FLOW</x:t>
  </x:si>
  <x:si>
    <x:t xml:space="preserve">Opening cash</x:t>
  </x:si>
  <x:si>
    <x:t xml:space="preserve">Net change in cash</x:t>
  </x:si>
  <x:si>
    <x:t xml:space="preserve">FX / held-for-sale / other</x:t>
  </x:si>
  <x:si>
    <x:t xml:space="preserve">ENDING CASH</x:t>
  </x:si>
  <x:si>
    <x:t xml:space="preserve">NATIONAL GRID PLC — CAPEX &amp; PP&amp;E SCHEDULE</x:t>
  </x:si>
  <x:si>
    <x:t xml:space="preserve">PP&amp;E Schedule (£m)</x:t>
  </x:si>
  <x:si>
    <x:t xml:space="preserve">Opening PP&amp;E</x:t>
  </x:si>
  <x:si>
    <x:t xml:space="preserve">PP&amp;E additions</x:t>
  </x:si>
  <x:si>
    <x:t xml:space="preserve">Depreciation</x:t>
  </x:si>
  <x:si>
    <x:t xml:space="preserve">FX / disposals / other</x:t>
  </x:si>
  <x:si>
    <x:t xml:space="preserve">Closing PP&amp;E</x:t>
  </x:si>
  <x:si>
    <x:t xml:space="preserve">Depreciation rate</x:t>
  </x:si>
  <x:si>
    <x:t xml:space="preserve">Implied PP&amp;E growth</x:t>
  </x:si>
  <x:si>
    <x:t xml:space="preserve">Group asset growth — guidance check</x:t>
  </x:si>
  <x:si>
    <x:t xml:space="preserve">NATIONAL GRID PLC — DEBT &amp; INTEREST SCHEDULE</x:t>
  </x:si>
  <x:si>
    <x:t xml:space="preserve">Debt Schedule (£m)</x:t>
  </x:si>
  <x:si>
    <x:t xml:space="preserve">Opening gross debt</x:t>
  </x:si>
  <x:si>
    <x:t xml:space="preserve">Base New borrowings</x:t>
  </x:si>
  <x:si>
    <x:t xml:space="preserve">FX / fair value / other movements</x:t>
  </x:si>
  <x:si>
    <x:t xml:space="preserve">Closing gross debt</x:t>
  </x:si>
  <x:si>
    <x:t xml:space="preserve">Average gross debt</x:t>
  </x:si>
  <x:si>
    <x:t xml:space="preserve">Finance cost</x:t>
  </x:si>
  <x:si>
    <x:t xml:space="preserve">Additional liquidity funding (year-end)</x:t>
  </x:si>
  <x:si>
    <x:t xml:space="preserve">Gross debt growth</x:t>
  </x:si>
  <x:si>
    <x:t xml:space="preserve">NATIONAL GRID PLC — FP&amp;A VARIANCE ANALYSIS</x:t>
  </x:si>
  <x:si>
    <x:t xml:space="preserve">FY2027 Budget is an illustrative management budget created for this portfolio case study and is not published National Grid guidance.</x:t>
  </x:si>
  <x:si>
    <x:t xml:space="preserve">Metric</x:t>
  </x:si>
  <x:si>
    <x:t xml:space="preserve">FY2026A Actual</x:t>
  </x:si>
  <x:si>
    <x:t xml:space="preserve">FY2027 Budget</x:t>
  </x:si>
  <x:si>
    <x:t xml:space="preserve">FY2027 Latest Forecast</x:t>
  </x:si>
  <x:si>
    <x:t xml:space="preserve">Variance vs Budget</x:t>
  </x:si>
  <x:si>
    <x:t xml:space="preserve">Variance %</x:t>
  </x:si>
  <x:si>
    <x:t xml:space="preserve">YoY vs Actual</x:t>
  </x:si>
  <x:si>
    <x:t xml:space="preserve">F/A</x:t>
  </x:si>
  <x:si>
    <x:t xml:space="preserve">Management Commentary</x:t>
  </x:si>
  <x:si>
    <x:t xml:space="preserve">Revenue (£m)</x:t>
  </x:si>
  <x:si>
    <x:t xml:space="preserve">Operating profit (£m)</x:t>
  </x:si>
  <x:si>
    <x:t xml:space="preserve">Capital investment (£m)</x:t>
  </x:si>
  <x:si>
    <x:t xml:space="preserve">Net operating cash flow (£m)</x:t>
  </x:si>
  <x:si>
    <x:t xml:space="preserve">Finance cost (£m)</x:t>
  </x:si>
  <x:si>
    <x:t xml:space="preserve">Profit after tax (£m)</x:t>
  </x:si>
  <x:si>
    <x:t xml:space="preserve">Closing gross debt (£m)</x:t>
  </x:si>
  <x:si>
    <x:t xml:space="preserve">Additional liquidity funding (£m)</x:t>
  </x:si>
  <x:si>
    <x:t xml:space="preserve">KPI - NATIONAL GRID PLC</x:t>
  </x:si>
  <x:si>
    <x:t xml:space="preserve">KPI</x:t>
  </x:si>
  <x:si>
    <x:t xml:space="preserve">PAT margin</x:t>
  </x:si>
  <x:si>
    <x:t xml:space="preserve">PP&amp;E capex intensity</x:t>
  </x:si>
  <x:si>
    <x:t xml:space="preserve">Cash flow after investing (£m)</x:t>
  </x:si>
  <x:si>
    <x:t xml:space="preserve">EBITDA proxy (£m)</x:t>
  </x:si>
  <x:si>
    <x:t xml:space="preserve">Gross debt (£m)</x:t>
  </x:si>
  <x:si>
    <x:t xml:space="preserve">Net debt (£m)</x:t>
  </x:si>
  <x:si>
    <x:t xml:space="preserve">Net debt / EBITDA proxy</x:t>
  </x:si>
  <x:si>
    <x:t xml:space="preserve">Interest coverage</x:t>
  </x:si>
  <x:si>
    <x:t xml:space="preserve">Debt / Equity</x:t>
  </x:si>
  <x:si>
    <x:t xml:space="preserve">ROA — closing assets basis</x:t>
  </x:si>
  <x:si>
    <x:t xml:space="preserve">ROE — closing equity basis</x:t>
  </x:si>
  <x:si>
    <x:t xml:space="preserve">Asset turnover</x:t>
  </x:si>
  <x:si>
    <x:t xml:space="preserve">SCENARIOS - NATIONAL GRID PLC</x:t>
  </x:si>
  <x:si>
    <x:t xml:space="preserve">Scenario Input</x:t>
  </x:si>
  <x:si>
    <x:t xml:space="preserve">Downside</x:t>
  </x:si>
  <x:si>
    <x:t xml:space="preserve">Scenario Output</x:t>
  </x:si>
  <x:si>
    <x:t xml:space="preserve">PP&amp;E additions (£m)</x:t>
  </x:si>
  <x:si>
    <x:t xml:space="preserve">Depreciation (£m)</x:t>
  </x:si>
  <x:si>
    <x:t xml:space="preserve">Base new borrowings (£m)</x:t>
  </x:si>
  <x:si>
    <x:t xml:space="preserve">Debt repayments (£m)</x:t>
  </x:si>
  <x:si>
    <x:t xml:space="preserve">Pre-funding closing debt (£m)</x:t>
  </x:si>
  <x:si>
    <x:t xml:space="preserve">Average debt (£m)</x:t>
  </x:si>
  <x:si>
    <x:t xml:space="preserve">Profit before tax (£m)</x:t>
  </x:si>
  <x:si>
    <x:t xml:space="preserve">Dividend (£m)</x:t>
  </x:si>
  <x:si>
    <x:t xml:space="preserve">Cash Flow Scenario</x:t>
  </x:si>
  <x:si>
    <x:t xml:space="preserve">Inventory (£m)</x:t>
  </x:si>
  <x:si>
    <x:t xml:space="preserve">Receivables (£m)</x:t>
  </x:si>
  <x:si>
    <x:t xml:space="preserve">Payables (£m)</x:t>
  </x:si>
  <x:si>
    <x:t xml:space="preserve">Contract liabilities (£m)</x:t>
  </x:si>
  <x:si>
    <x:t xml:space="preserve">Working capital movement (£m)</x:t>
  </x:si>
  <x:si>
    <x:t xml:space="preserve">Provisions movement (£m)</x:t>
  </x:si>
  <x:si>
    <x:t xml:space="preserve">Closing PP&amp;E (£m)</x:t>
  </x:si>
  <x:si>
    <x:t xml:space="preserve">Deferred tax liability (£m)</x:t>
  </x:si>
  <x:si>
    <x:t xml:space="preserve">Other liabilities (£m)</x:t>
  </x:si>
  <x:si>
    <x:t xml:space="preserve">Other operating adjustments (£m)</x:t>
  </x:si>
  <x:si>
    <x:t xml:space="preserve">D&amp;A (£m)</x:t>
  </x:si>
  <x:si>
    <x:t xml:space="preserve">Tax paid (£m)</x:t>
  </x:si>
  <x:si>
    <x:t xml:space="preserve">Investing Scenario</x:t>
  </x:si>
  <x:si>
    <x:t xml:space="preserve">Closing intangible assets (£m)</x:t>
  </x:si>
  <x:si>
    <x:t xml:space="preserve">Intangible purchases (£m)</x:t>
  </x:si>
  <x:si>
    <x:t xml:space="preserve">PP&amp;E purchases (£m)</x:t>
  </x:si>
  <x:si>
    <x:t xml:space="preserve">Other investing cash flows (£m)</x:t>
  </x:si>
  <x:si>
    <x:t xml:space="preserve">Net investing cash flow (£m)</x:t>
  </x:si>
  <x:si>
    <x:t xml:space="preserve">Funding &amp; Leverage</x:t>
  </x:si>
  <x:si>
    <x:t xml:space="preserve">Cash before additional funding (£m)</x:t>
  </x:si>
  <x:si>
    <x:t xml:space="preserve">Ending cash (£m)</x:t>
  </x:si>
  <x:si>
    <x:t xml:space="preserve">Net debt / EBITDA</x:t>
  </x:si>
  <x:si>
    <x:t xml:space="preserve">DCF VALUATION - NATIONAL GRID PLC</x:t>
  </x:si>
  <x:si>
    <x:t xml:space="preserve">DCF ASSUMPTIONS</x:t>
  </x:si>
  <x:si>
    <x:t xml:space="preserve">Value</x:t>
  </x:si>
  <x:si>
    <x:t xml:space="preserve">WACC</x:t>
  </x:si>
  <x:si>
    <x:t xml:space="preserve">Terminal growth rate</x:t>
  </x:si>
  <x:si>
    <x:t xml:space="preserve">Terminal ROIC</x:t>
  </x:si>
  <x:si>
    <x:t xml:space="preserve">FY2026 Net debt (£m)</x:t>
  </x:si>
  <x:si>
    <x:t xml:space="preserve">Diluted shares outstanding (m)</x:t>
  </x:si>
  <x:si>
    <x:t xml:space="preserve">Market price reference (p)</x:t>
  </x:si>
  <x:si>
    <x:t xml:space="preserve">Valuation date</x:t>
  </x:si>
  <x:si>
    <x:t xml:space="preserve">FCFF FORECAST</x:t>
  </x:si>
  <x:si>
    <x:t xml:space="preserve">Operating profit / EBIT (£m)</x:t>
  </x:si>
  <x:si>
    <x:t xml:space="preserve">Tax rate</x:t>
  </x:si>
  <x:si>
    <x:t xml:space="preserve">NOPAT (£m)</x:t>
  </x:si>
  <x:si>
    <x:t xml:space="preserve">Provisions / pensions movement (£m)</x:t>
  </x:si>
  <x:si>
    <x:t xml:space="preserve">Deferred tax movement (£m)</x:t>
  </x:si>
  <x:si>
    <x:t xml:space="preserve">Other liabilities movement (£m)</x:t>
  </x:si>
  <x:si>
    <x:t xml:space="preserve">FCFF (£m)</x:t>
  </x:si>
  <x:si>
    <x:t xml:space="preserve">Discount period</x:t>
  </x:si>
  <x:si>
    <x:t xml:space="preserve">Discount factor</x:t>
  </x:si>
  <x:si>
    <x:t xml:space="preserve">PV of FCFF (£m)</x:t>
  </x:si>
  <x:si>
    <x:t xml:space="preserve">TERMINAL VALUE</x:t>
  </x:si>
  <x:si>
    <x:t xml:space="preserve">FY2031 NOPAT (£m)</x:t>
  </x:si>
  <x:si>
    <x:t xml:space="preserve">Terminal reinvestment rate</x:t>
  </x:si>
  <x:si>
    <x:t xml:space="preserve">Normalised terminal FCFF (£m)</x:t>
  </x:si>
  <x:si>
    <x:t xml:space="preserve">Terminal value (£m)</x:t>
  </x:si>
  <x:si>
    <x:t xml:space="preserve">PV of terminal value (£m)</x:t>
  </x:si>
  <x:si>
    <x:t xml:space="preserve">PV of explicit FCFF (£m)</x:t>
  </x:si>
  <x:si>
    <x:t xml:space="preserve">Enterprise value (£m)</x:t>
  </x:si>
  <x:si>
    <x:t xml:space="preserve">Less: FY2026 net debt (£m)</x:t>
  </x:si>
  <x:si>
    <x:t xml:space="preserve">Equity value (£m)</x:t>
  </x:si>
  <x:si>
    <x:t xml:space="preserve">Implied value per share (£)</x:t>
  </x:si>
  <x:si>
    <x:t xml:space="preserve">Implied value per share (p)</x:t>
  </x:si>
  <x:si>
    <x:t xml:space="preserve">Upside / (Downside)</x:t>
  </x:si>
  <x:si>
    <x:t xml:space="preserve">DCF SENSITIVITY — IMPLIED SHARE PRICE (p)</x:t>
  </x:si>
  <x:si>
    <x:t xml:space="preserve">Terminal Growth / WACC</x:t>
  </x:si>
  <x:si>
    <x:t xml:space="preserve">NATIONAL GRID PLC — FP&amp;A &amp; FINANCIAL MODELLING DASHBOARD</x:t>
  </x:si>
  <x:si>
    <x:t xml:space="preserve">Base Case | FY2024A–FY2031E | £m unless stated</x:t>
  </x:si>
  <x:si>
    <x:t xml:space="preserve">KEY METRIC</x:t>
  </x:si>
  <x:si>
    <x:t xml:space="preserve">VALUATION</x:t>
  </x:si>
  <x:si>
    <x:t xml:space="preserve">DCF implied share price (p)</x:t>
  </x:si>
  <x:si>
    <x:t xml:space="preserve">Market reference price (p)</x:t>
  </x:si>
  <x:si>
    <x:t xml:space="preserve">Terminal growth</x:t>
  </x:si>
  <x:si>
    <x:t xml:space="preserve">Year</x:t>
  </x:si>
  <x:si>
    <x:t xml:space="preserve">Operating Profit (£m)</x:t>
  </x:si>
  <x:si>
    <x:t xml:space="preserve">Gross Debt (£m)</x:t>
  </x:si>
  <x:si>
    <x:t xml:space="preserve">Additional Funding (£m)</x:t>
  </x:si>
  <x:si>
    <x:t xml:space="preserve">PAT (£m)</x:t>
  </x:si>
  <x:si>
    <x:t xml:space="preserve">Additional funding (£m)</x:t>
  </x:si>
  <x:si>
    <x:t xml:space="preserve">MANAGEMENT INSIGHTS</x:t>
  </x:si>
  <x:si>
    <x:t xml:space="preserve">Revenue &amp; profitability</x:t>
  </x:si>
  <x:si>
    <x:t xml:space="preserve">Revenue is forecast to recover from £17.7bn in FY26 to £24.3bn by FY31, while operating margin expands from 30.7% to 32.3%.</x:t>
  </x:si>
  <x:si>
    <x:t xml:space="preserve">Investment programme</x:t>
  </x:si>
  <x:si>
    <x:t xml:space="preserve">Capital investment remains approximately £13–15bn annually, materially exceeding internally generated post-investment cash flow.</x:t>
  </x:si>
  <x:si>
    <x:t xml:space="preserve">Funding pressure</x:t>
  </x:si>
  <x:si>
    <x:t xml:space="preserve">Gross debt rises from approximately £46.8bn in FY26 to £82.2bn in FY31 under the base case.</x:t>
  </x:si>
  <x:si>
    <x:t xml:space="preserve">Leverage</x:t>
  </x:si>
  <x:si>
    <x:t xml:space="preserve">Net debt / EBITDA increases from approximately 6.0x to above 7.0x, while interest coverage falls towards 2.6x.</x:t>
  </x:si>
  <x:si>
    <x:t xml:space="preserve">Scenario risk</x:t>
  </x:si>
  <x:si>
    <x:t xml:space="preserve">The downside case produces weaker profitability, higher funding requirements and materially weaker debt-service capacity.</x:t>
  </x:si>
  <x:si>
    <x:t xml:space="preserve">Valuation</x:t>
  </x:si>
  <x:si>
    <x:t xml:space="preserve">Base DCF implies approximately 1,192p per share versus a 1,150.5p market reference, indicating modest upside but significant sensitivity to WACC and terminal growth.</x:t>
  </x:si>
  <x:si>
    <x:t xml:space="preserve">Revenue &amp; Operating Profit Trend</x:t>
  </x:si>
  <x:si>
    <x:t xml:space="preserve">Debt &amp; External Funding Outlook</x:t>
  </x:si>
  <x:si>
    <x:t xml:space="preserve">NATIONAL GRID — FINANCIAL ANALYSIS</x:t>
  </x:si>
  <x:si>
    <x:t xml:space="preserve">HELPER DATA — keep with dashboard when copying</x:t>
  </x:si>
  <x:si>
    <x:t xml:space="preserve">FY2024A–FY2031E | Base Case | £m unless stated</x:t>
  </x:si>
  <x:si>
    <x:t xml:space="preserve">Scenario</x:t>
  </x:si>
  <x:si>
    <x:t xml:space="preserve">£19.1bn</x:t>
  </x:si>
  <x:si>
    <x:t xml:space="preserve">31.8%</x:t>
  </x:si>
  <x:si>
    <x:t xml:space="preserve">£53.6bn</x:t>
  </x:si>
  <x:si>
    <x:t xml:space="preserve">6.2x</x:t>
  </x:si>
  <x:si>
    <x:t xml:space="preserve">1,192p</x:t>
  </x:si>
  <x:si>
    <x:t xml:space="preserve">FY2027 Revenue</x:t>
  </x:si>
  <x:si>
    <x:t xml:space="preserve">Operating Margin</x:t>
  </x:si>
  <x:si>
    <x:t xml:space="preserve">FY2027 Gross Debt</x:t>
  </x:si>
  <x:si>
    <x:t xml:space="preserve">Net Debt / EBITDA</x:t>
  </x:si>
  <x:si>
    <x:t xml:space="preserve">DCF Value / Share</x:t>
  </x:si>
  <x:si>
    <x:t xml:space="preserve">£3.7bn</x:t>
  </x:si>
  <x:si>
    <x:t xml:space="preserve">£13.0bn</x:t>
  </x:si>
  <x:si>
    <x:t xml:space="preserve">£4.6bn</x:t>
  </x:si>
  <x:si>
    <x:t xml:space="preserve">3.3x</x:t>
  </x:si>
  <x:si>
    <x:t xml:space="preserve">FY2027 Profit After Tax</x:t>
  </x:si>
  <x:si>
    <x:t xml:space="preserve">FY2027 Capital Investment</x:t>
  </x:si>
  <x:si>
    <x:t xml:space="preserve">Additional Funding</x:t>
  </x:si>
  <x:si>
    <x:t xml:space="preserve">Interest Coverage</x:t>
  </x:si>
  <x:si>
    <x:t xml:space="preserve">1,150.5p</x:t>
  </x:si>
  <x:si>
    <x:t xml:space="preserve">+3.6%</x:t>
  </x:si>
  <x:si>
    <x:t xml:space="preserve">£82.2bn</x:t>
  </x:si>
  <x:si>
    <x:t xml:space="preserve">Market Price</x:t>
  </x:si>
  <x:si>
    <x:t xml:space="preserve">DCF Upside</x:t>
  </x:si>
  <x:si>
    <x:t xml:space="preserve">FY2031 Gross Debt</x:t>
  </x:si>
</x:sst>
</file>

<file path=xl/styles.xml><?xml version="1.0" encoding="utf-8"?>
<x:styleSheet xmlns:x="http://schemas.openxmlformats.org/spreadsheetml/2006/main">
  <x:numFmts count="10">
    <x:numFmt numFmtId="170" formatCode="0.0"/>
    <x:numFmt numFmtId="171" formatCode="#,##0;\ \(#\ ##0\);\ \-"/>
    <x:numFmt numFmtId="173" formatCode="0.00000"/>
    <x:numFmt numFmtId="174" formatCode="0.0000"/>
    <x:numFmt numFmtId="175" formatCode="0.000"/>
    <x:numFmt numFmtId="177" formatCode="0.0%"/>
    <x:numFmt numFmtId="184" formatCode="#,##0;\ \(#.\ ##0\);\ \-"/>
    <x:numFmt numFmtId="185" formatCode="0.0\x"/>
    <x:numFmt numFmtId="186" formatCode="#,##0;[Red]\(#,##0\);\-"/>
    <x:numFmt numFmtId="200" formatCode="#,##0.0;[Red](#,##0.0);-"/>
  </x:numFmts>
  <x:fonts count="50">
    <x:font>
      <x:sz val="12"/>
      <x:color theme="1"/>
      <x:name val="Aptos Narrow"/>
    </x:font>
    <x:font>
      <x:sz val="12"/>
      <x:color theme="1"/>
      <x:name val="Aptos Narrow"/>
    </x:font>
    <x:font>
      <x:b/>
      <x:sz val="12"/>
      <x:color theme="0"/>
      <x:name val="Aptos Narrow"/>
    </x:font>
    <x:font>
      <x:b/>
      <x:sz val="12"/>
      <x:color theme="1"/>
      <x:name val="Aptos Narrow"/>
    </x:font>
    <x:font>
      <x:sz val="10"/>
      <x:color theme="1"/>
      <x:name val="Arial Unicode MS"/>
    </x:font>
    <x:font>
      <x:b/>
      <x:sz val="12"/>
      <x:color theme="1"/>
      <x:name val="Aptos Narrow"/>
    </x:font>
    <x:font>
      <x:b/>
      <x:sz val="14"/>
      <x:color theme="1"/>
      <x:name val="Aptos Narrow"/>
    </x:font>
    <x:font>
      <x:b/>
      <x:sz val="11"/>
      <x:color theme="1"/>
      <x:name val="Aptos Narrow"/>
    </x:font>
    <x:font>
      <x:sz val="12"/>
      <x:color theme="3" tint="0.09998"/>
      <x:name val="Aptos Narrow"/>
    </x:font>
    <x:font>
      <x:sz val="12"/>
      <x:color theme="3" tint="0.24998"/>
      <x:name val="Aptos Narrow"/>
    </x:font>
    <x:font>
      <x:b/>
      <x:sz val="12"/>
      <x:color theme="0"/>
      <x:name val="Aptos Narrow"/>
    </x:font>
    <x:font>
      <x:b/>
      <x:sz val="12"/>
      <x:color theme="3" tint="0.09998"/>
      <x:name val="Aptos Narrow"/>
    </x:font>
    <x:font>
      <x:b/>
      <x:sz val="14"/>
      <x:color theme="1"/>
      <x:name val="Aptos Narrow"/>
    </x:font>
    <x:font>
      <x:b/>
      <x:sz val="12"/>
      <x:color theme="3" tint="0.09998"/>
      <x:name val="Aptos Narrow"/>
    </x:font>
    <x:font>
      <x:sz val="12"/>
      <x:color theme="9" tint="-0.24998"/>
      <x:name val="Aptos Narrow"/>
    </x:font>
    <x:font>
      <x:sz val="12"/>
      <x:color theme="1"/>
      <x:name val="Aptos Narrow"/>
    </x:font>
    <x:font>
      <x:sz val="12"/>
      <x:color theme="9" tint="-0.24998"/>
      <x:name val="Aptos Narrow"/>
    </x:font>
    <x:font>
      <x:sz val="10"/>
      <x:color theme="3" tint="0.24998"/>
      <x:name val="Arial Unicode MS"/>
    </x:font>
    <x:font>
      <x:sz val="10"/>
      <x:color theme="9" tint="-0.24998"/>
      <x:name val="Arial Unicode MS"/>
    </x:font>
    <x:font>
      <x:sz val="12"/>
      <x:color theme="3" tint="0.09998"/>
      <x:name val="Aptos Narrow"/>
    </x:font>
    <x:font>
      <x:sz val="12"/>
      <x:color theme="4" tint="-0.24998"/>
      <x:name val="Aptos Narrow"/>
    </x:font>
    <x:font>
      <x:b/>
      <x:sz val="12"/>
      <x:color theme="9" tint="-0.24998"/>
      <x:name val="Aptos Narrow"/>
    </x:font>
    <x:font>
      <x:sz val="11"/>
      <x:name val="Carlito"/>
    </x:font>
    <x:font>
      <x:sz val="6"/>
      <x:color rgb="FF2B2B2B"/>
      <x:name val="Carlito"/>
    </x:font>
    <x:font>
      <x:sz val="9"/>
      <x:color rgb="FFFFFFFF"/>
      <x:name val="Aptos"/>
    </x:font>
    <x:font>
      <x:b/>
      <x:sz val="9"/>
      <x:color rgb="FFFFFFFF"/>
      <x:name val="Aptos"/>
    </x:font>
    <x:font>
      <x:b/>
      <x:sz val="8"/>
      <x:color rgb="FFED7D31"/>
      <x:name val="Aptos"/>
    </x:font>
    <x:font>
      <x:sz val="18"/>
      <x:color rgb="FFFFFFFF"/>
      <x:name val="Aptos"/>
    </x:font>
    <x:font>
      <x:sz val="18"/>
      <x:color rgb="FF70AD47"/>
      <x:name val="Aptos"/>
    </x:font>
    <x:font>
      <x:b/>
      <x:sz val="18"/>
      <x:color rgb="FFFFFFFF"/>
      <x:name val="Aptos"/>
    </x:font>
    <x:font>
      <x:b/>
      <x:sz val="18"/>
      <x:color rgb="FF70AD47"/>
      <x:name val="Aptos"/>
    </x:font>
    <x:font>
      <x:b/>
      <x:sz val="9"/>
      <x:color rgb="FF8FC5FF"/>
      <x:name val="Aptos"/>
    </x:font>
    <x:font>
      <x:b/>
      <x:sz val="9"/>
      <x:color rgb="FFED7D31"/>
      <x:name val="Aptos"/>
    </x:font>
    <x:font>
      <x:b/>
      <x:sz val="21"/>
      <x:color rgb="FFFFFFFF"/>
      <x:name val="Aptos"/>
    </x:font>
    <x:font>
      <x:sz val="21"/>
      <x:color rgb="FFFFFFFF"/>
      <x:name val="Aptos"/>
    </x:font>
    <x:font>
      <x:b/>
      <x:sz val="22"/>
      <x:color rgb="FFFFFFFF"/>
      <x:name val="Aptos"/>
    </x:font>
    <x:font>
      <x:i/>
      <x:sz val="10"/>
      <x:color rgb="FFD9EAF7"/>
      <x:name val="Aptos"/>
    </x:font>
    <x:font>
      <x:b/>
      <x:sz val="22"/>
      <x:color rgb="FFFFFFFF"/>
      <x:name val="Aptos Display"/>
    </x:font>
    <x:font>
      <x:b/>
      <x:sz val="14"/>
      <x:color rgb="FFED7D31"/>
      <x:name val="Aptos"/>
    </x:font>
    <x:font>
      <x:b/>
      <x:sz val="14"/>
      <x:color rgb="FF8FC5FF"/>
      <x:name val="Aptos"/>
    </x:font>
    <x:font>
      <x:sz val="16"/>
      <x:color rgb="FF2B2B2B"/>
      <x:name val="Carlito"/>
    </x:font>
    <x:font>
      <x:sz val="16"/>
      <x:name val="Carlito"/>
    </x:font>
    <x:font>
      <x:b/>
      <x:sz val="16"/>
      <x:color rgb="FF2B2B2B"/>
      <x:name val="Carlito"/>
    </x:font>
    <x:font>
      <x:b/>
      <x:sz val="16"/>
      <x:color rgb="FF17365D"/>
      <x:name val="Carlito"/>
    </x:font>
    <x:font>
      <x:b/>
      <x:sz val="14"/>
      <x:color rgb="FF2B2B2B"/>
      <x:name val="Carlito"/>
    </x:font>
    <x:font>
      <x:b/>
      <x:sz val="16"/>
      <x:color rgb="FFFFFFFF"/>
      <x:name val="Aptos Narrow"/>
    </x:font>
    <x:font>
      <x:i/>
      <x:sz val="10"/>
      <x:color rgb="FF44546A"/>
      <x:name val="Aptos Narrow"/>
    </x:font>
    <x:font>
      <x:b/>
      <x:sz val="12"/>
      <x:color rgb="FFFFFFFF"/>
      <x:name val="Aptos Narrow"/>
    </x:font>
    <x:font>
      <x:b/>
      <x:sz val="12"/>
      <x:color rgb="FF000000"/>
      <x:name val="Aptos Narrow"/>
    </x:font>
    <x:font>
      <x:sz val="10"/>
      <x:color rgb="FF000000"/>
      <x:name val="Aptos Narrow"/>
    </x:font>
  </x:fonts>
  <x:fills count="15">
    <x:fill>
      <x:patternFill patternType="none"/>
    </x:fill>
    <x:fill>
      <x:patternFill patternType="gray125"/>
    </x:fill>
    <x:fill>
      <x:patternFill patternType="solid">
        <x:fgColor theme="3" tint="0.49998"/>
      </x:patternFill>
    </x:fill>
    <x:fill>
      <x:patternFill patternType="solid">
        <x:fgColor rgb="FFFFFBAF"/>
      </x:patternFill>
    </x:fill>
    <x:fill>
      <x:patternFill patternType="solid">
        <x:fgColor theme="3" tint="0.09998"/>
      </x:patternFill>
    </x:fill>
    <x:fill>
      <x:patternFill patternType="solid">
        <x:fgColor theme="4" tint="-0.24998"/>
      </x:patternFill>
    </x:fill>
    <x:fill>
      <x:patternFill patternType="solid">
        <x:fgColor rgb="FF2B2B2B"/>
      </x:patternFill>
    </x:fill>
    <x:fill>
      <x:patternFill patternType="solid">
        <x:fgColor rgb="FF333333"/>
      </x:patternFill>
    </x:fill>
    <x:fill>
      <x:patternFill patternType="solid">
        <x:fgColor rgb="FF1676D2"/>
      </x:patternFill>
    </x:fill>
    <x:fill>
      <x:patternFill patternType="solid">
        <x:fgColor rgb="FFED7D31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8FAFC"/>
      </x:patternFill>
    </x:fill>
  </x:fills>
  <x:borders count="2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3">
    <x:xf numFmtId="0" fontId="0" fillId="0" borderId="0"/>
    <x:xf numFmtId="9" fontId="1" fillId="0" borderId="0" applyFont="0" applyFill="0" applyBorder="0" applyAlignment="0" applyProtection="0"/>
    <x:xf numFmtId="0" fontId="22" fillId="0" borderId="0"/>
  </x:cellStyleXfs>
  <x:cellXfs count="304">
    <x:xf numFmtId="0" fontId="0" fillId="0" borderId="0" xfId="0"/>
    <x:xf numFmtId="14" fontId="0" fillId="0" borderId="0" xfId="0" applyNumberFormat="1"/>
    <x:xf numFmtId="16" fontId="0" fillId="0" borderId="0" xfId="0" applyNumberFormat="1"/>
    <x:xf numFmtId="0" fontId="0" fillId="0" borderId="0" xfId="0" applyAlignment="1">
      <x:alignment vertical="top" wrapText="1"/>
    </x:xf>
    <x:xf numFmtId="0" fontId="3" fillId="0" borderId="0" xfId="0" applyFont="1"/>
    <x:xf numFmtId="0" fontId="5" fillId="0" borderId="0" xfId="0" applyFont="1"/>
    <x:xf numFmtId="170" fontId="0" fillId="0" borderId="0" xfId="0" applyNumberFormat="1"/>
    <x:xf numFmtId="0" fontId="6" fillId="0" borderId="0" xfId="0" applyFont="1" applyAlignment="1">
      <x:alignment horizontal="center"/>
    </x:xf>
    <x:xf numFmtId="0" fontId="5" fillId="0" borderId="0" xfId="0" applyFont="1" applyAlignment="1">
      <x:alignment vertical="top"/>
    </x:xf>
    <x:xf numFmtId="0" fontId="7" fillId="2" borderId="0" xfId="0" applyFont="1" applyFill="1" applyAlignment="1">
      <x:alignment horizontal="center"/>
    </x:xf>
    <x:xf numFmtId="0" fontId="8" fillId="0" borderId="0" xfId="0" applyFont="1"/>
    <x:xf numFmtId="0" fontId="9" fillId="0" borderId="0" xfId="0" applyFont="1"/>
    <x:xf numFmtId="0" fontId="9" fillId="3" borderId="0" xfId="0" applyFont="1" applyFill="1"/>
    <x:xf numFmtId="0" fontId="2" fillId="4" borderId="0" xfId="0" applyFont="1" applyFill="1" applyAlignment="1">
      <x:alignment horizontal="left"/>
    </x:xf>
    <x:xf numFmtId="0" fontId="10" fillId="4" borderId="0" xfId="0" applyFont="1" applyFill="1" applyAlignment="1">
      <x:alignment horizontal="center"/>
    </x:xf>
    <x:xf numFmtId="0" fontId="10" fillId="4" borderId="0" xfId="0" applyFont="1" applyFill="1" applyAlignment="1">
      <x:alignment horizontal="left"/>
    </x:xf>
    <x:xf numFmtId="3" fontId="0" fillId="0" borderId="0" xfId="0" applyNumberFormat="1"/>
    <x:xf numFmtId="3" fontId="3" fillId="0" borderId="0" xfId="0" applyNumberFormat="1" applyFont="1"/>
    <x:xf numFmtId="0" fontId="8" fillId="0" borderId="0" xfId="0" applyFont="1"/>
    <x:xf numFmtId="0" fontId="11" fillId="0" borderId="0" xfId="0" applyFont="1"/>
    <x:xf numFmtId="0" fontId="0" fillId="0" borderId="0" xfId="0"/>
    <x:xf numFmtId="0" fontId="3" fillId="0" borderId="0" xfId="0" applyFont="1"/>
    <x:xf numFmtId="0" fontId="8" fillId="0" borderId="0" xfId="0" applyFont="1" applyFill="1"/>
    <x:xf numFmtId="0" fontId="11" fillId="0" borderId="0" xfId="0" applyFont="1" applyFill="1"/>
    <x:xf numFmtId="0" fontId="12" fillId="0" borderId="0" xfId="0" applyFont="1"/>
    <x:xf numFmtId="0" fontId="5" fillId="0" borderId="0" xfId="0" applyFont="1"/>
    <x:xf numFmtId="0" fontId="13" fillId="0" borderId="0" xfId="0" applyFont="1"/>
    <x:xf numFmtId="0" fontId="14" fillId="0" borderId="0" xfId="0" applyFont="1"/>
    <x:xf numFmtId="173" fontId="0" fillId="0" borderId="0" xfId="0" applyNumberFormat="1"/>
    <x:xf numFmtId="174" fontId="0" fillId="0" borderId="0" xfId="0" applyNumberFormat="1"/>
    <x:xf numFmtId="175" fontId="0" fillId="0" borderId="0" xfId="0" applyNumberFormat="1"/>
    <x:xf numFmtId="2" fontId="0" fillId="0" borderId="0" xfId="0" applyNumberFormat="1"/>
    <x:xf numFmtId="0" fontId="10" fillId="4" borderId="0" xfId="0" applyFont="1" applyFill="1" applyAlignment="1">
      <x:alignment horizontal="left"/>
    </x:xf>
    <x:xf numFmtId="0" fontId="10" fillId="0" borderId="0" xfId="0" applyFont="1" applyFill="1" applyAlignment="1"/>
    <x:xf numFmtId="0" fontId="14" fillId="0" borderId="0" xfId="0" applyFont="1"/>
    <x:xf numFmtId="10" fontId="0" fillId="0" borderId="0" xfId="0" applyNumberFormat="1"/>
    <x:xf numFmtId="177" fontId="0" fillId="0" borderId="0" xfId="0" applyNumberFormat="1"/>
    <x:xf numFmtId="0" fontId="15" fillId="0" borderId="0" xfId="0" applyFont="1"/>
    <x:xf numFmtId="0" fontId="16" fillId="0" borderId="0" xfId="0" applyFont="1"/>
    <x:xf numFmtId="0" fontId="10" fillId="5" borderId="0" xfId="0" applyFont="1" applyFill="1"/>
    <x:xf numFmtId="0" fontId="9" fillId="0" borderId="0" xfId="0" applyFont="1"/>
    <x:xf numFmtId="0" fontId="17" fillId="0" borderId="0" xfId="0" applyFont="1"/>
    <x:xf numFmtId="0" fontId="18" fillId="0" borderId="0" xfId="0" applyFont="1"/>
    <x:xf numFmtId="9" fontId="0" fillId="0" borderId="0" xfId="0" applyNumberFormat="1"/>
    <x:xf numFmtId="0" fontId="2" fillId="5" borderId="0" xfId="0" applyFont="1" applyFill="1" applyAlignment="1">
      <x:alignment horizontal="left"/>
    </x:xf>
    <x:xf numFmtId="177" fontId="14" fillId="0" borderId="0" xfId="0" applyNumberFormat="1" applyFont="1"/>
    <x:xf numFmtId="0" fontId="8" fillId="0" borderId="0" xfId="0" applyNumberFormat="1" applyFont="1"/>
    <x:xf numFmtId="177" fontId="8" fillId="0" borderId="0" xfId="0" applyNumberFormat="1" applyFont="1" applyFill="1"/>
    <x:xf numFmtId="177" fontId="19" fillId="0" borderId="0" xfId="0" applyNumberFormat="1" applyFont="1"/>
    <x:xf numFmtId="3" fontId="19" fillId="0" borderId="0" xfId="0" applyNumberFormat="1" applyFont="1"/>
    <x:xf numFmtId="0" fontId="19" fillId="0" borderId="0" xfId="0" applyFont="1"/>
    <x:xf numFmtId="10" fontId="19" fillId="0" borderId="0" xfId="0" applyNumberFormat="1" applyFont="1"/>
    <x:xf numFmtId="1" fontId="15" fillId="0" borderId="0" xfId="0" applyNumberFormat="1" applyFont="1"/>
    <x:xf numFmtId="1" fontId="0" fillId="0" borderId="0" xfId="0" applyNumberFormat="1"/>
    <x:xf numFmtId="9" fontId="0" fillId="0" borderId="0" xfId="1" applyFont="1"/>
    <x:xf numFmtId="177" fontId="0" fillId="0" borderId="0" xfId="1" applyNumberFormat="1" applyFont="1"/>
    <x:xf numFmtId="177" fontId="14" fillId="0" borderId="0" xfId="1" applyNumberFormat="1" applyFont="1"/>
    <x:xf numFmtId="1" fontId="14" fillId="0" borderId="0" xfId="0" applyNumberFormat="1" applyFont="1"/>
    <x:xf numFmtId="9" fontId="14" fillId="0" borderId="0" xfId="1" applyFont="1"/>
    <x:xf numFmtId="10" fontId="0" fillId="0" borderId="0" xfId="1" applyNumberFormat="1" applyFont="1"/>
    <x:xf numFmtId="177" fontId="20" fillId="3" borderId="0" xfId="1" applyNumberFormat="1" applyFont="1" applyFill="1"/>
    <x:xf numFmtId="177" fontId="1" fillId="0" borderId="0" xfId="1" applyNumberFormat="1" applyFont="1"/>
    <x:xf numFmtId="0" fontId="1" fillId="0" borderId="0" xfId="0" applyFont="1"/>
    <x:xf numFmtId="9" fontId="20" fillId="3" borderId="0" xfId="0" applyNumberFormat="1" applyFont="1" applyFill="1"/>
    <x:xf numFmtId="10" fontId="20" fillId="3" borderId="0" xfId="0" applyNumberFormat="1" applyFont="1" applyFill="1"/>
    <x:xf numFmtId="0" fontId="20" fillId="0" borderId="0" xfId="0" applyFont="1"/>
    <x:xf numFmtId="0" fontId="0" fillId="0" borderId="0" xfId="0"/>
    <x:xf numFmtId="10" fontId="0" fillId="0" borderId="0" xfId="1" applyNumberFormat="1" applyFont="1" applyAlignment="1">
      <x:alignment horizontal="right"/>
    </x:xf>
    <x:xf numFmtId="1" fontId="0" fillId="0" borderId="0" xfId="0" applyNumberFormat="1" applyFont="1"/>
    <x:xf numFmtId="0" fontId="5" fillId="0" borderId="0" xfId="0" applyFont="1" applyAlignment="1">
      <x:alignment horizontal="left"/>
    </x:xf>
    <x:xf numFmtId="0" fontId="0" fillId="0" borderId="0" xfId="0" applyFont="1"/>
    <x:xf numFmtId="0" fontId="14" fillId="0" borderId="0" xfId="0" applyFont="1"/>
    <x:xf numFmtId="0" fontId="16" fillId="0" borderId="0" xfId="0" applyFont="1"/>
    <x:xf numFmtId="0" fontId="5" fillId="0" borderId="0" xfId="0" applyFont="1"/>
    <x:xf numFmtId="10" fontId="9" fillId="3" borderId="0" xfId="0" applyNumberFormat="1" applyFont="1" applyFill="1"/>
    <x:xf numFmtId="9" fontId="9" fillId="3" borderId="0" xfId="0" applyNumberFormat="1" applyFont="1" applyFill="1"/>
    <x:xf numFmtId="0" fontId="21" fillId="0" borderId="0" xfId="0" applyFont="1"/>
    <x:xf numFmtId="0" fontId="9" fillId="0" borderId="0" xfId="0" applyFont="1"/>
    <x:xf numFmtId="0" fontId="9" fillId="3" borderId="0" xfId="0" applyNumberFormat="1" applyFont="1" applyFill="1"/>
    <x:xf numFmtId="10" fontId="8" fillId="3" borderId="0" xfId="0" applyNumberFormat="1" applyFont="1" applyFill="1"/>
    <x:xf numFmtId="0" fontId="8" fillId="0" borderId="0" xfId="0" applyFont="1"/>
    <x:xf numFmtId="0" fontId="11" fillId="0" borderId="0" xfId="0" applyFont="1"/>
    <x:xf numFmtId="3" fontId="5" fillId="0" borderId="0" xfId="0" applyNumberFormat="1" applyFont="1"/>
    <x:xf numFmtId="0" fontId="3" fillId="0" borderId="0" xfId="0" applyFont="1"/>
    <x:xf numFmtId="10" fontId="3" fillId="0" borderId="0" xfId="1" applyNumberFormat="1" applyFont="1"/>
    <x:xf numFmtId="10" fontId="8" fillId="0" borderId="0" xfId="0" applyNumberFormat="1" applyFont="1"/>
    <x:xf numFmtId="0" fontId="8" fillId="3" borderId="0" xfId="0" applyFont="1" applyFill="1"/>
    <x:xf numFmtId="15" fontId="8" fillId="0" borderId="0" xfId="0" applyNumberFormat="1" applyFont="1"/>
    <x:xf numFmtId="171" fontId="0" fillId="0" borderId="0" xfId="0" applyNumberFormat="1"/>
    <x:xf numFmtId="184" fontId="0" fillId="0" borderId="0" xfId="0" applyNumberFormat="1"/>
    <x:xf numFmtId="0" fontId="5" fillId="0" borderId="1" xfId="0" applyFont="1" applyBorder="1"/>
    <x:xf numFmtId="0" fontId="0" fillId="0" borderId="1" xfId="0" applyBorder="1"/>
    <x:xf numFmtId="1" fontId="0" fillId="0" borderId="1" xfId="0" applyNumberFormat="1" applyBorder="1"/>
    <x:xf numFmtId="10" fontId="0" fillId="0" borderId="1" xfId="0" applyNumberFormat="1" applyBorder="1"/>
    <x:xf numFmtId="3" fontId="0" fillId="0" borderId="1" xfId="0" applyNumberFormat="1" applyBorder="1"/>
    <x:xf numFmtId="0" fontId="5" fillId="0" borderId="2" xfId="0" applyFont="1" applyBorder="1"/>
    <x:xf numFmtId="0" fontId="0" fillId="0" borderId="3" xfId="0" applyBorder="1"/>
    <x:xf numFmtId="0" fontId="0" fillId="0" borderId="4" xfId="0" applyBorder="1"/>
    <x:xf numFmtId="0" fontId="5" fillId="0" borderId="5" xfId="0" applyFont="1" applyBorder="1"/>
    <x:xf numFmtId="0" fontId="15" fillId="0" borderId="0" xfId="0" applyFont="1" applyBorder="1"/>
    <x:xf numFmtId="0" fontId="15" fillId="0" borderId="6" xfId="0" applyFont="1" applyBorder="1"/>
    <x:xf numFmtId="0" fontId="5" fillId="0" borderId="7" xfId="0" applyFont="1" applyBorder="1"/>
    <x:xf numFmtId="0" fontId="5" fillId="0" borderId="8" xfId="0" applyFont="1" applyBorder="1"/>
    <x:xf numFmtId="0" fontId="5" fillId="0" borderId="9" xfId="0" applyFont="1" applyBorder="1"/>
    <x:xf numFmtId="0" fontId="22" fillId="0" borderId="0" xfId="2"/>
    <x:xf numFmtId="0" fontId="24" fillId="6" borderId="0" xfId="2" applyFont="1" applyFill="1" applyAlignment="1">
      <x:alignment vertical="center" wrapText="1"/>
    </x:xf>
    <x:xf numFmtId="0" fontId="25" fillId="6" borderId="0" xfId="2" applyFont="1" applyFill="1" applyAlignment="1">
      <x:alignment vertical="center"/>
    </x:xf>
    <x:xf numFmtId="0" fontId="25" fillId="6" borderId="0" xfId="2" applyFont="1" applyFill="1" applyAlignment="1">
      <x:alignment horizontal="left" vertical="center" wrapText="1"/>
    </x:xf>
    <x:xf numFmtId="0" fontId="25" fillId="6" borderId="0" xfId="2" applyFont="1" applyFill="1" applyAlignment="1">
      <x:alignment horizontal="left" vertical="center"/>
    </x:xf>
    <x:xf numFmtId="0" fontId="24" fillId="6" borderId="0" xfId="2" applyFont="1" applyFill="1" applyAlignment="1">
      <x:alignment vertical="center" wrapText="1"/>
    </x:xf>
    <x:xf numFmtId="0" fontId="25" fillId="6" borderId="0" xfId="2" applyFont="1" applyFill="1" applyAlignment="1">
      <x:alignment vertical="center"/>
    </x:xf>
    <x:xf numFmtId="0" fontId="26" fillId="7" borderId="0" xfId="2" applyFont="1" applyFill="1" applyAlignment="1">
      <x:alignment horizontal="center" vertical="center" wrapText="1"/>
    </x:xf>
    <x:xf numFmtId="0" fontId="25" fillId="6" borderId="0" xfId="2" applyFont="1" applyFill="1" applyAlignment="1">
      <x:alignment horizontal="left" vertical="center"/>
    </x:xf>
    <x:xf numFmtId="0" fontId="27" fillId="7" borderId="0" xfId="2" applyFont="1" applyFill="1" applyAlignment="1">
      <x:alignment horizontal="center" vertical="center"/>
    </x:xf>
    <x:xf numFmtId="0" fontId="28" fillId="7" borderId="0" xfId="2" applyFont="1" applyFill="1" applyAlignment="1">
      <x:alignment horizontal="center" vertical="center"/>
    </x:xf>
    <x:xf numFmtId="0" fontId="24" fillId="6" borderId="0" xfId="2" applyFont="1" applyFill="1" applyAlignment="1">
      <x:alignment vertical="center"/>
    </x:xf>
    <x:xf numFmtId="0" fontId="29" fillId="7" borderId="0" xfId="2" applyFont="1" applyFill="1" applyAlignment="1">
      <x:alignment horizontal="center" vertical="center"/>
    </x:xf>
    <x:xf numFmtId="0" fontId="30" fillId="7" borderId="0" xfId="2" applyFont="1" applyFill="1" applyAlignment="1">
      <x:alignment horizontal="center" vertical="center"/>
    </x:xf>
    <x:xf numFmtId="0" fontId="25" fillId="6" borderId="0" xfId="2" applyFont="1" applyFill="1" applyAlignment="1">
      <x:alignment horizontal="right" vertical="center"/>
    </x:xf>
    <x:xf numFmtId="0" fontId="31" fillId="7" borderId="0" xfId="2" applyFont="1" applyFill="1" applyAlignment="1">
      <x:alignment horizontal="center" vertical="center" wrapText="1"/>
    </x:xf>
    <x:xf numFmtId="0" fontId="32" fillId="7" borderId="0" xfId="2" applyFont="1" applyFill="1" applyAlignment="1">
      <x:alignment horizontal="center" vertical="center" wrapText="1"/>
    </x:xf>
    <x:xf numFmtId="0" fontId="33" fillId="7" borderId="0" xfId="2" applyFont="1" applyFill="1" applyAlignment="1">
      <x:alignment horizontal="center" vertical="center"/>
    </x:xf>
    <x:xf numFmtId="0" fontId="34" fillId="7" borderId="0" xfId="2" applyFont="1" applyFill="1" applyAlignment="1">
      <x:alignment horizontal="center" vertical="center"/>
    </x:xf>
    <x:xf numFmtId="186" fontId="34" fillId="7" borderId="0" xfId="2" applyNumberFormat="1" applyFont="1" applyFill="1" applyAlignment="1">
      <x:alignment horizontal="center" vertical="center"/>
    </x:xf>
    <x:xf numFmtId="0" fontId="25" fillId="8" borderId="0" xfId="2" applyFont="1" applyFill="1" applyAlignment="1">
      <x:alignment horizontal="left" vertical="center"/>
    </x:xf>
    <x:xf numFmtId="0" fontId="25" fillId="9" borderId="0" xfId="2" applyFont="1" applyFill="1" applyAlignment="1">
      <x:alignment horizontal="left" vertical="center"/>
    </x:xf>
    <x:xf numFmtId="0" fontId="35" fillId="7" borderId="0" xfId="2" applyFont="1" applyFill="1" applyAlignment="1">
      <x:alignment horizontal="center" vertical="center"/>
    </x:xf>
    <x:xf numFmtId="0" fontId="25" fillId="8" borderId="0" xfId="2" applyFont="1" applyFill="1" applyAlignment="1">
      <x:alignment horizontal="center" vertical="center"/>
    </x:xf>
    <x:xf numFmtId="0" fontId="24" fillId="9" borderId="0" xfId="2" applyFont="1" applyFill="1" applyAlignment="1">
      <x:alignment vertical="center"/>
    </x:xf>
    <x:xf numFmtId="0" fontId="36" fillId="8" borderId="0" xfId="2" applyFont="1" applyFill="1" applyAlignment="1">
      <x:alignment horizontal="center" vertical="center"/>
    </x:xf>
    <x:xf numFmtId="0" fontId="37" fillId="8" borderId="0" xfId="2" applyFont="1" applyFill="1" applyAlignment="1">
      <x:alignment horizontal="center" vertical="center"/>
    </x:xf>
    <x:xf numFmtId="0" fontId="23" fillId="0" borderId="0" xfId="2" applyFont="1" applyFill="1"/>
    <x:xf numFmtId="0" fontId="22" fillId="0" borderId="0" xfId="2" applyFill="1"/>
    <x:xf numFmtId="3" fontId="23" fillId="0" borderId="0" xfId="2" applyNumberFormat="1" applyFont="1" applyFill="1"/>
    <x:xf numFmtId="0" fontId="38" fillId="7" borderId="0" xfId="2" applyFont="1" applyFill="1" applyAlignment="1">
      <x:alignment horizontal="center" vertical="center" wrapText="1"/>
    </x:xf>
    <x:xf numFmtId="185" fontId="38" fillId="7" borderId="0" xfId="2" applyNumberFormat="1" applyFont="1" applyFill="1" applyAlignment="1">
      <x:alignment horizontal="center" vertical="center" wrapText="1"/>
    </x:xf>
    <x:xf numFmtId="0" fontId="39" fillId="7" borderId="0" xfId="2" applyFont="1" applyFill="1" applyAlignment="1">
      <x:alignment horizontal="center" vertical="center" wrapText="1"/>
    </x:xf>
    <x:xf numFmtId="0" fontId="40" fillId="0" borderId="0" xfId="2" applyFont="1" applyFill="1"/>
    <x:xf numFmtId="0" fontId="41" fillId="0" borderId="0" xfId="2" applyFont="1" applyFill="1"/>
    <x:xf numFmtId="3" fontId="40" fillId="0" borderId="0" xfId="2" applyNumberFormat="1" applyFont="1" applyFill="1"/>
    <x:xf numFmtId="0" fontId="42" fillId="0" borderId="0" xfId="2" applyFont="1" applyFill="1"/>
    <x:xf numFmtId="0" fontId="43" fillId="0" borderId="0" xfId="2" applyFont="1" applyFill="1"/>
    <x:xf numFmtId="0" fontId="44" fillId="0" borderId="0" xfId="2" applyFont="1" applyFill="1"/>
    <x:xf numFmtId="0" fontId="0" fillId="0" borderId="10" xfId="0" applyNumberFormat="1" applyFont="1" applyFill="1" applyBorder="1"/>
    <x:xf numFmtId="14" fontId="0" fillId="0" borderId="10" xfId="0" applyNumberFormat="1" applyFont="1" applyFill="1" applyBorder="1"/>
    <x:xf numFmtId="16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/>
    <x:xf numFmtId="170" fontId="0" fillId="0" borderId="10" xfId="0" applyNumberFormat="1" applyFont="1" applyFill="1" applyBorder="1"/>
    <x:xf numFmtId="0" fontId="6" fillId="0" borderId="10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vertical="top"/>
    </x:xf>
    <x:xf numFmtId="0" fontId="7" fillId="2" borderId="10" xfId="0" applyNumberFormat="1" applyFont="1" applyFill="1" applyBorder="1" applyAlignment="1">
      <x:alignment horizontal="center"/>
    </x:xf>
    <x:xf numFmtId="0" fontId="8" fillId="0" borderId="10" xfId="0" applyNumberFormat="1" applyFont="1" applyFill="1" applyBorder="1"/>
    <x:xf numFmtId="0" fontId="9" fillId="0" borderId="10" xfId="0" applyNumberFormat="1" applyFont="1" applyFill="1" applyBorder="1"/>
    <x:xf numFmtId="0" fontId="9" fillId="3" borderId="10" xfId="0" applyNumberFormat="1" applyFont="1" applyFill="1" applyBorder="1"/>
    <x:xf numFmtId="0" fontId="2" fillId="4" borderId="10" xfId="0" applyNumberFormat="1" applyFont="1" applyFill="1" applyBorder="1" applyAlignment="1">
      <x:alignment horizontal="left"/>
    </x:xf>
    <x:xf numFmtId="0" fontId="2" fillId="4" borderId="10" xfId="0" applyNumberFormat="1" applyFont="1" applyFill="1" applyBorder="1" applyAlignment="1">
      <x:alignment horizontal="center"/>
    </x:xf>
    <x:xf numFmtId="3" fontId="0" fillId="0" borderId="10" xfId="0" applyNumberFormat="1" applyFont="1" applyFill="1" applyBorder="1"/>
    <x:xf numFmtId="3" fontId="3" fillId="0" borderId="10" xfId="0" applyNumberFormat="1" applyFont="1" applyFill="1" applyBorder="1"/>
    <x:xf numFmtId="0" fontId="11" fillId="0" borderId="10" xfId="0" applyNumberFormat="1" applyFont="1" applyFill="1" applyBorder="1"/>
    <x:xf numFmtId="0" fontId="6" fillId="0" borderId="10" xfId="0" applyNumberFormat="1" applyFont="1" applyFill="1" applyBorder="1"/>
    <x:xf numFmtId="0" fontId="14" fillId="0" borderId="10" xfId="0" applyNumberFormat="1" applyFont="1" applyFill="1" applyBorder="1"/>
    <x:xf numFmtId="173" fontId="0" fillId="0" borderId="10" xfId="0" applyNumberFormat="1" applyFont="1" applyFill="1" applyBorder="1"/>
    <x:xf numFmtId="174" fontId="0" fillId="0" borderId="10" xfId="0" applyNumberFormat="1" applyFont="1" applyFill="1" applyBorder="1"/>
    <x:xf numFmtId="175" fontId="0" fillId="0" borderId="10" xfId="0" applyNumberFormat="1" applyFont="1" applyFill="1" applyBorder="1"/>
    <x:xf numFmtId="2" fontId="0" fillId="0" borderId="10" xfId="0" applyNumberFormat="1" applyFont="1" applyFill="1" applyBorder="1"/>
    <x:xf numFmtId="0" fontId="2" fillId="0" borderId="10" xfId="0" applyNumberFormat="1" applyFont="1" applyFill="1" applyBorder="1"/>
    <x:xf numFmtId="10" fontId="0" fillId="0" borderId="10" xfId="0" applyNumberFormat="1" applyFont="1" applyFill="1" applyBorder="1"/>
    <x:xf numFmtId="177" fontId="0" fillId="0" borderId="10" xfId="0" applyNumberFormat="1" applyFont="1" applyFill="1" applyBorder="1"/>
    <x:xf numFmtId="0" fontId="2" fillId="5" borderId="10" xfId="0" applyNumberFormat="1" applyFont="1" applyFill="1" applyBorder="1"/>
    <x:xf numFmtId="0" fontId="17" fillId="0" borderId="10" xfId="0" applyNumberFormat="1" applyFont="1" applyFill="1" applyBorder="1"/>
    <x:xf numFmtId="0" fontId="18" fillId="0" borderId="10" xfId="0" applyNumberFormat="1" applyFont="1" applyFill="1" applyBorder="1"/>
    <x:xf numFmtId="9" fontId="0" fillId="0" borderId="10" xfId="0" applyNumberFormat="1" applyFont="1" applyFill="1" applyBorder="1"/>
    <x:xf numFmtId="0" fontId="2" fillId="5" borderId="10" xfId="0" applyNumberFormat="1" applyFont="1" applyFill="1" applyBorder="1" applyAlignment="1">
      <x:alignment horizontal="left"/>
    </x:xf>
    <x:xf numFmtId="177" fontId="14" fillId="0" borderId="10" xfId="0" applyNumberFormat="1" applyFont="1" applyFill="1" applyBorder="1"/>
    <x:xf numFmtId="177" fontId="8" fillId="0" borderId="10" xfId="0" applyNumberFormat="1" applyFont="1" applyFill="1" applyBorder="1"/>
    <x:xf numFmtId="3" fontId="8" fillId="0" borderId="10" xfId="0" applyNumberFormat="1" applyFont="1" applyFill="1" applyBorder="1"/>
    <x:xf numFmtId="10" fontId="8" fillId="0" borderId="10" xfId="0" applyNumberFormat="1" applyFont="1" applyFill="1" applyBorder="1"/>
    <x:xf numFmtId="1" fontId="0" fillId="0" borderId="10" xfId="0" applyNumberFormat="1" applyFont="1" applyFill="1" applyBorder="1"/>
    <x:xf numFmtId="1" fontId="14" fillId="0" borderId="10" xfId="0" applyNumberFormat="1" applyFont="1" applyFill="1" applyBorder="1"/>
    <x:xf numFmtId="9" fontId="14" fillId="0" borderId="10" xfId="0" applyNumberFormat="1" applyFont="1" applyFill="1" applyBorder="1"/>
    <x:xf numFmtId="177" fontId="20" fillId="3" borderId="10" xfId="0" applyNumberFormat="1" applyFont="1" applyFill="1" applyBorder="1"/>
    <x:xf numFmtId="9" fontId="20" fillId="3" borderId="10" xfId="0" applyNumberFormat="1" applyFont="1" applyFill="1" applyBorder="1"/>
    <x:xf numFmtId="10" fontId="20" fillId="3" borderId="10" xfId="0" applyNumberFormat="1" applyFont="1" applyFill="1" applyBorder="1"/>
    <x:xf numFmtId="0" fontId="20" fillId="0" borderId="10" xfId="0" applyNumberFormat="1" applyFont="1" applyFill="1" applyBorder="1"/>
    <x:xf numFmtId="10" fontId="0" fillId="0" borderId="10" xfId="0" applyNumberFormat="1" applyFont="1" applyFill="1" applyBorder="1" applyAlignment="1">
      <x:alignment horizontal="right"/>
    </x:xf>
    <x:xf numFmtId="0" fontId="3" fillId="0" borderId="10" xfId="0" applyNumberFormat="1" applyFont="1" applyFill="1" applyBorder="1" applyAlignment="1">
      <x:alignment horizontal="left"/>
    </x:xf>
    <x:xf numFmtId="10" fontId="9" fillId="3" borderId="10" xfId="0" applyNumberFormat="1" applyFont="1" applyFill="1" applyBorder="1"/>
    <x:xf numFmtId="9" fontId="9" fillId="3" borderId="10" xfId="0" applyNumberFormat="1" applyFont="1" applyFill="1" applyBorder="1"/>
    <x:xf numFmtId="0" fontId="21" fillId="0" borderId="10" xfId="0" applyNumberFormat="1" applyFont="1" applyFill="1" applyBorder="1"/>
    <x:xf numFmtId="10" fontId="8" fillId="3" borderId="10" xfId="0" applyNumberFormat="1" applyFont="1" applyFill="1" applyBorder="1"/>
    <x:xf numFmtId="10" fontId="3" fillId="0" borderId="10" xfId="0" applyNumberFormat="1" applyFont="1" applyFill="1" applyBorder="1"/>
    <x:xf numFmtId="0" fontId="8" fillId="3" borderId="10" xfId="0" applyNumberFormat="1" applyFont="1" applyFill="1" applyBorder="1"/>
    <x:xf numFmtId="15" fontId="8" fillId="0" borderId="10" xfId="0" applyNumberFormat="1" applyFont="1" applyFill="1" applyBorder="1"/>
    <x:xf numFmtId="171" fontId="0" fillId="0" borderId="10" xfId="0" applyNumberFormat="1" applyFont="1" applyFill="1" applyBorder="1"/>
    <x:xf numFmtId="184" fontId="0" fillId="0" borderId="10" xfId="0" applyNumberFormat="1" applyFont="1" applyFill="1" applyBorder="1"/>
    <x:xf numFmtId="0" fontId="3" fillId="0" borderId="11" xfId="0" applyNumberFormat="1" applyFont="1" applyFill="1" applyBorder="1"/>
    <x:xf numFmtId="0" fontId="0" fillId="0" borderId="11" xfId="0" applyNumberFormat="1" applyFont="1" applyFill="1" applyBorder="1"/>
    <x:xf numFmtId="1" fontId="0" fillId="0" borderId="11" xfId="0" applyNumberFormat="1" applyFont="1" applyFill="1" applyBorder="1"/>
    <x:xf numFmtId="10" fontId="0" fillId="0" borderId="11" xfId="0" applyNumberFormat="1" applyFont="1" applyFill="1" applyBorder="1"/>
    <x:xf numFmtId="3" fontId="0" fillId="0" borderId="11" xfId="0" applyNumberFormat="1" applyFont="1" applyFill="1" applyBorder="1"/>
    <x:xf numFmtId="0" fontId="3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0" borderId="15" xfId="0" applyNumberFormat="1" applyFont="1" applyFill="1" applyBorder="1"/>
    <x:xf numFmtId="0" fontId="0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9" xfId="0" applyNumberFormat="1" applyFont="1" applyFill="1" applyBorder="1"/>
    <x:xf numFmtId="0" fontId="22" fillId="0" borderId="10" xfId="0" applyNumberFormat="1" applyFont="1" applyFill="1" applyBorder="1"/>
    <x:xf numFmtId="0" fontId="24" fillId="6" borderId="10" xfId="0" applyNumberFormat="1" applyFont="1" applyFill="1" applyBorder="1" applyAlignment="1">
      <x:alignment vertical="center" wrapText="1"/>
    </x:xf>
    <x:xf numFmtId="0" fontId="25" fillId="6" borderId="10" xfId="0" applyNumberFormat="1" applyFont="1" applyFill="1" applyBorder="1" applyAlignment="1">
      <x:alignment vertical="center"/>
    </x:xf>
    <x:xf numFmtId="0" fontId="25" fillId="6" borderId="10" xfId="0" applyNumberFormat="1" applyFont="1" applyFill="1" applyBorder="1" applyAlignment="1">
      <x:alignment horizontal="left" vertical="center" wrapText="1"/>
    </x:xf>
    <x:xf numFmtId="0" fontId="25" fillId="6" borderId="10" xfId="0" applyNumberFormat="1" applyFont="1" applyFill="1" applyBorder="1" applyAlignment="1">
      <x:alignment horizontal="left" vertical="center"/>
    </x:xf>
    <x:xf numFmtId="0" fontId="26" fillId="7" borderId="10" xfId="0" applyNumberFormat="1" applyFont="1" applyFill="1" applyBorder="1" applyAlignment="1">
      <x:alignment horizontal="center" vertical="center" wrapText="1"/>
    </x:xf>
    <x:xf numFmtId="0" fontId="27" fillId="7" borderId="10" xfId="0" applyNumberFormat="1" applyFont="1" applyFill="1" applyBorder="1" applyAlignment="1">
      <x:alignment horizontal="center" vertical="center"/>
    </x:xf>
    <x:xf numFmtId="0" fontId="28" fillId="7" borderId="10" xfId="0" applyNumberFormat="1" applyFont="1" applyFill="1" applyBorder="1" applyAlignment="1">
      <x:alignment horizontal="center" vertical="center"/>
    </x:xf>
    <x:xf numFmtId="0" fontId="24" fillId="6" borderId="10" xfId="0" applyNumberFormat="1" applyFont="1" applyFill="1" applyBorder="1" applyAlignment="1">
      <x:alignment vertical="center"/>
    </x:xf>
    <x:xf numFmtId="0" fontId="29" fillId="7" borderId="10" xfId="0" applyNumberFormat="1" applyFont="1" applyFill="1" applyBorder="1" applyAlignment="1">
      <x:alignment horizontal="center" vertical="center"/>
    </x:xf>
    <x:xf numFmtId="0" fontId="30" fillId="7" borderId="10" xfId="0" applyNumberFormat="1" applyFont="1" applyFill="1" applyBorder="1" applyAlignment="1">
      <x:alignment horizontal="center" vertical="center"/>
    </x:xf>
    <x:xf numFmtId="0" fontId="25" fillId="6" borderId="10" xfId="0" applyNumberFormat="1" applyFont="1" applyFill="1" applyBorder="1" applyAlignment="1">
      <x:alignment horizontal="right" vertical="center"/>
    </x:xf>
    <x:xf numFmtId="0" fontId="31" fillId="7" borderId="10" xfId="0" applyNumberFormat="1" applyFont="1" applyFill="1" applyBorder="1" applyAlignment="1">
      <x:alignment horizontal="center" vertical="center" wrapText="1"/>
    </x:xf>
    <x:xf numFmtId="0" fontId="32" fillId="7" borderId="10" xfId="0" applyNumberFormat="1" applyFont="1" applyFill="1" applyBorder="1" applyAlignment="1">
      <x:alignment horizontal="center" vertical="center" wrapText="1"/>
    </x:xf>
    <x:xf numFmtId="0" fontId="33" fillId="7" borderId="10" xfId="0" applyNumberFormat="1" applyFont="1" applyFill="1" applyBorder="1" applyAlignment="1">
      <x:alignment horizontal="center" vertical="center"/>
    </x:xf>
    <x:xf numFmtId="0" fontId="34" fillId="7" borderId="10" xfId="0" applyNumberFormat="1" applyFont="1" applyFill="1" applyBorder="1" applyAlignment="1">
      <x:alignment horizontal="center" vertical="center"/>
    </x:xf>
    <x:xf numFmtId="186" fontId="34" fillId="7" borderId="10" xfId="0" applyNumberFormat="1" applyFont="1" applyFill="1" applyBorder="1" applyAlignment="1">
      <x:alignment horizontal="center" vertical="center"/>
    </x:xf>
    <x:xf numFmtId="0" fontId="25" fillId="8" borderId="10" xfId="0" applyNumberFormat="1" applyFont="1" applyFill="1" applyBorder="1" applyAlignment="1">
      <x:alignment horizontal="left" vertical="center"/>
    </x:xf>
    <x:xf numFmtId="0" fontId="25" fillId="9" borderId="10" xfId="0" applyNumberFormat="1" applyFont="1" applyFill="1" applyBorder="1" applyAlignment="1">
      <x:alignment horizontal="left" vertical="center"/>
    </x:xf>
    <x:xf numFmtId="0" fontId="35" fillId="7" borderId="10" xfId="0" applyNumberFormat="1" applyFont="1" applyFill="1" applyBorder="1" applyAlignment="1">
      <x:alignment horizontal="center" vertical="center"/>
    </x:xf>
    <x:xf numFmtId="0" fontId="25" fillId="8" borderId="10" xfId="0" applyNumberFormat="1" applyFont="1" applyFill="1" applyBorder="1" applyAlignment="1">
      <x:alignment horizontal="center" vertical="center"/>
    </x:xf>
    <x:xf numFmtId="0" fontId="24" fillId="9" borderId="10" xfId="0" applyNumberFormat="1" applyFont="1" applyFill="1" applyBorder="1" applyAlignment="1">
      <x:alignment vertical="center"/>
    </x:xf>
    <x:xf numFmtId="0" fontId="36" fillId="8" borderId="10" xfId="0" applyNumberFormat="1" applyFont="1" applyFill="1" applyBorder="1" applyAlignment="1">
      <x:alignment horizontal="center" vertical="center"/>
    </x:xf>
    <x:xf numFmtId="0" fontId="37" fillId="8" borderId="10" xfId="0" applyNumberFormat="1" applyFont="1" applyFill="1" applyBorder="1" applyAlignment="1">
      <x:alignment horizontal="center" vertical="center"/>
    </x:xf>
    <x:xf numFmtId="0" fontId="23" fillId="0" borderId="10" xfId="0" applyNumberFormat="1" applyFont="1" applyFill="1" applyBorder="1"/>
    <x:xf numFmtId="3" fontId="23" fillId="0" borderId="10" xfId="0" applyNumberFormat="1" applyFont="1" applyFill="1" applyBorder="1"/>
    <x:xf numFmtId="0" fontId="38" fillId="7" borderId="10" xfId="0" applyNumberFormat="1" applyFont="1" applyFill="1" applyBorder="1" applyAlignment="1">
      <x:alignment horizontal="center" vertical="center" wrapText="1"/>
    </x:xf>
    <x:xf numFmtId="185" fontId="38" fillId="7" borderId="10" xfId="0" applyNumberFormat="1" applyFont="1" applyFill="1" applyBorder="1" applyAlignment="1">
      <x:alignment horizontal="center" vertical="center" wrapText="1"/>
    </x:xf>
    <x:xf numFmtId="0" fontId="39" fillId="7" borderId="10" xfId="0" applyNumberFormat="1" applyFont="1" applyFill="1" applyBorder="1" applyAlignment="1">
      <x:alignment horizontal="center" vertical="center" wrapText="1"/>
    </x:xf>
    <x:xf numFmtId="0" fontId="40" fillId="0" borderId="10" xfId="0" applyNumberFormat="1" applyFont="1" applyFill="1" applyBorder="1"/>
    <x:xf numFmtId="0" fontId="41" fillId="0" borderId="10" xfId="0" applyNumberFormat="1" applyFont="1" applyFill="1" applyBorder="1"/>
    <x:xf numFmtId="3" fontId="40" fillId="0" borderId="10" xfId="0" applyNumberFormat="1" applyFont="1" applyFill="1" applyBorder="1"/>
    <x:xf numFmtId="0" fontId="42" fillId="0" borderId="10" xfId="0" applyNumberFormat="1" applyFont="1" applyFill="1" applyBorder="1"/>
    <x:xf numFmtId="0" fontId="43" fillId="0" borderId="10" xfId="0" applyNumberFormat="1" applyFont="1" applyFill="1" applyBorder="1"/>
    <x:xf numFmtId="0" fontId="44" fillId="0" borderId="10" xfId="0" applyNumberFormat="1" applyFont="1" applyFill="1" applyBorder="1"/>
    <x:xf numFmtId="0" fontId="0" fillId="10" borderId="0" xfId="0" applyNumberFormat="1" applyFont="1" applyFill="1" applyBorder="1"/>
    <x:xf numFmtId="0" fontId="45" fillId="10" borderId="0" xfId="0" applyNumberFormat="1" applyFont="1" applyFill="1" applyBorder="1"/>
    <x:xf numFmtId="0" fontId="45" fillId="10" borderId="0" xfId="0" applyNumberFormat="1" applyFont="1" applyFill="1" applyBorder="1" applyAlignment="1">
      <x:alignment horizontal="left"/>
    </x:xf>
    <x:xf numFmtId="0" fontId="45" fillId="10" borderId="0" xfId="0" applyNumberFormat="1" applyFont="1" applyFill="1" applyBorder="1" applyAlignment="1">
      <x:alignment horizontal="left" vertical="center"/>
    </x:xf>
    <x:xf numFmtId="0" fontId="0" fillId="10" borderId="10" xfId="0" applyNumberFormat="1" applyFont="1" applyFill="1" applyBorder="1"/>
    <x:xf numFmtId="0" fontId="45" fillId="10" borderId="10" xfId="0" applyNumberFormat="1" applyFont="1" applyFill="1" applyBorder="1"/>
    <x:xf numFmtId="0" fontId="45" fillId="10" borderId="10" xfId="0" applyNumberFormat="1" applyFont="1" applyFill="1" applyBorder="1" applyAlignment="1">
      <x:alignment horizontal="left"/>
    </x:xf>
    <x:xf numFmtId="0" fontId="45" fillId="10" borderId="1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46" fillId="11" borderId="0" xfId="0" applyNumberFormat="1" applyFont="1" applyFill="1" applyBorder="1"/>
    <x:xf numFmtId="0" fontId="46" fillId="11" borderId="0" xfId="0" applyNumberFormat="1" applyFont="1" applyFill="1" applyBorder="1" applyAlignment="1">
      <x:alignment horizontal="left"/>
    </x:xf>
    <x:xf numFmtId="0" fontId="46" fillId="11" borderId="0" xfId="0" applyNumberFormat="1" applyFont="1" applyFill="1" applyBorder="1" applyAlignment="1">
      <x:alignment horizontal="left" vertical="center"/>
    </x:xf>
    <x:xf numFmtId="0" fontId="0" fillId="11" borderId="10" xfId="0" applyNumberFormat="1" applyFont="1" applyFill="1" applyBorder="1"/>
    <x:xf numFmtId="0" fontId="46" fillId="11" borderId="10" xfId="0" applyNumberFormat="1" applyFont="1" applyFill="1" applyBorder="1"/>
    <x:xf numFmtId="0" fontId="46" fillId="11" borderId="10" xfId="0" applyNumberFormat="1" applyFont="1" applyFill="1" applyBorder="1" applyAlignment="1">
      <x:alignment horizontal="left"/>
    </x:xf>
    <x:xf numFmtId="0" fontId="46" fillId="11" borderId="1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47" fillId="12" borderId="0" xfId="0" applyNumberFormat="1" applyFont="1" applyFill="1" applyBorder="1"/>
    <x:xf numFmtId="0" fontId="47" fillId="12" borderId="0" xfId="0" applyNumberFormat="1" applyFont="1" applyFill="1" applyBorder="1" applyAlignment="1">
      <x:alignment horizontal="center"/>
    </x:xf>
    <x:xf numFmtId="0" fontId="47" fillId="12" borderId="0" xfId="0" applyNumberFormat="1" applyFont="1" applyFill="1" applyBorder="1" applyAlignment="1">
      <x:alignment horizontal="center" vertical="center"/>
    </x:xf>
    <x:xf numFmtId="0" fontId="0" fillId="12" borderId="10" xfId="0" applyNumberFormat="1" applyFont="1" applyFill="1" applyBorder="1"/>
    <x:xf numFmtId="0" fontId="47" fillId="12" borderId="10" xfId="0" applyNumberFormat="1" applyFont="1" applyFill="1" applyBorder="1"/>
    <x:xf numFmtId="0" fontId="47" fillId="12" borderId="10" xfId="0" applyNumberFormat="1" applyFont="1" applyFill="1" applyBorder="1" applyAlignment="1">
      <x:alignment horizontal="center"/>
    </x:xf>
    <x:xf numFmtId="0" fontId="47" fillId="12" borderId="1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48" fillId="13" borderId="0" xfId="0" applyNumberFormat="1" applyFont="1" applyFill="1" applyBorder="1"/>
    <x:xf numFmtId="0" fontId="48" fillId="13" borderId="0" xfId="0" applyNumberFormat="1" applyFont="1" applyFill="1" applyBorder="1" applyAlignment="1">
      <x:alignment horizontal="center"/>
    </x:xf>
    <x:xf numFmtId="0" fontId="48" fillId="13" borderId="0" xfId="0" applyNumberFormat="1" applyFont="1" applyFill="1" applyBorder="1" applyAlignment="1">
      <x:alignment horizontal="center" vertical="center"/>
    </x:xf>
    <x:xf numFmtId="0" fontId="0" fillId="13" borderId="10" xfId="0" applyNumberFormat="1" applyFont="1" applyFill="1" applyBorder="1"/>
    <x:xf numFmtId="0" fontId="48" fillId="13" borderId="10" xfId="0" applyNumberFormat="1" applyFont="1" applyFill="1" applyBorder="1"/>
    <x:xf numFmtId="0" fontId="48" fillId="13" borderId="10" xfId="0" applyNumberFormat="1" applyFont="1" applyFill="1" applyBorder="1" applyAlignment="1">
      <x:alignment horizontal="center"/>
    </x:xf>
    <x:xf numFmtId="0" fontId="48" fillId="13" borderId="10" xfId="0" applyNumberFormat="1" applyFont="1" applyFill="1" applyBorder="1" applyAlignment="1">
      <x:alignment horizontal="center" vertical="center"/>
    </x:xf>
    <x:xf numFmtId="0" fontId="47" fillId="10" borderId="0" xfId="0" applyNumberFormat="1" applyFont="1" applyFill="1" applyBorder="1"/>
    <x:xf numFmtId="0" fontId="47" fillId="10" borderId="0" xfId="0" applyNumberFormat="1" applyFont="1" applyFill="1" applyBorder="1" applyAlignment="1">
      <x:alignment wrapText="1"/>
    </x:xf>
    <x:xf numFmtId="0" fontId="47" fillId="10" borderId="0" xfId="0" applyNumberFormat="1" applyFont="1" applyFill="1" applyBorder="1" applyAlignment="1">
      <x:alignment horizontal="center" wrapText="1"/>
    </x:xf>
    <x:xf numFmtId="0" fontId="47" fillId="10" borderId="0" xfId="0" applyNumberFormat="1" applyFont="1" applyFill="1" applyBorder="1" applyAlignment="1">
      <x:alignment horizontal="center" vertical="center" wrapText="1"/>
    </x:xf>
    <x:xf numFmtId="0" fontId="47" fillId="10" borderId="10" xfId="0" applyNumberFormat="1" applyFont="1" applyFill="1" applyBorder="1"/>
    <x:xf numFmtId="0" fontId="47" fillId="10" borderId="10" xfId="0" applyNumberFormat="1" applyFont="1" applyFill="1" applyBorder="1" applyAlignment="1">
      <x:alignment wrapText="1"/>
    </x:xf>
    <x:xf numFmtId="0" fontId="47" fillId="10" borderId="10" xfId="0" applyNumberFormat="1" applyFont="1" applyFill="1" applyBorder="1" applyAlignment="1">
      <x:alignment horizontal="center" wrapText="1"/>
    </x:xf>
    <x:xf numFmtId="0" fontId="47" fillId="10" borderId="10" xfId="0" applyNumberFormat="1" applyFont="1" applyFill="1" applyBorder="1" applyAlignment="1">
      <x:alignment horizontal="center" vertical="center" wrapText="1"/>
    </x:xf>
    <x:xf numFmtId="0" fontId="49" fillId="0" borderId="0" xfId="0" applyNumberFormat="1" applyFont="1" applyFill="1" applyBorder="1"/>
    <x:xf numFmtId="0" fontId="49" fillId="0" borderId="0" xfId="0" applyNumberFormat="1" applyFont="1" applyFill="1" applyBorder="1" applyAlignment="1">
      <x:alignment vertical="center"/>
    </x:xf>
    <x:xf numFmtId="0" fontId="49" fillId="0" borderId="10" xfId="0" applyNumberFormat="1" applyFont="1" applyFill="1" applyBorder="1"/>
    <x:xf numFmtId="0" fontId="49" fillId="0" borderId="10" xfId="0" applyNumberFormat="1" applyFont="1" applyFill="1" applyBorder="1" applyAlignment="1">
      <x:alignment vertical="center"/>
    </x:xf>
    <x:xf numFmtId="0" fontId="49" fillId="0" borderId="0" xfId="0" applyNumberFormat="1" applyFont="1" applyFill="1" applyBorder="1" applyAlignment="1">
      <x:alignment vertical="center" wrapText="1"/>
    </x:xf>
    <x:xf numFmtId="0" fontId="49" fillId="0" borderId="10" xfId="0" applyNumberFormat="1" applyFont="1" applyFill="1" applyBorder="1" applyAlignment="1">
      <x:alignment vertical="center" wrapText="1"/>
    </x:xf>
    <x:xf numFmtId="0" fontId="49" fillId="0" borderId="0" xfId="0" applyNumberFormat="1" applyFont="1" applyFill="1" applyBorder="1" applyAlignment="1">
      <x:alignment horizontal="center" vertical="center"/>
    </x:xf>
    <x:xf numFmtId="0" fontId="49" fillId="0" borderId="10" xfId="0" applyNumberFormat="1" applyFont="1" applyFill="1" applyBorder="1" applyAlignment="1">
      <x:alignment horizontal="center" vertical="center"/>
    </x:xf>
    <x:xf numFmtId="200" fontId="49" fillId="0" borderId="0" xfId="0" applyNumberFormat="1" applyFont="1" applyFill="1" applyBorder="1" applyAlignment="1">
      <x:alignment horizontal="center" vertical="center"/>
    </x:xf>
    <x:xf numFmtId="200" fontId="49" fillId="0" borderId="10" xfId="0" applyNumberFormat="1" applyFont="1" applyFill="1" applyBorder="1" applyAlignment="1">
      <x:alignment horizontal="center" vertical="center"/>
    </x:xf>
    <x:xf numFmtId="200" fontId="48" fillId="13" borderId="0" xfId="0" applyNumberFormat="1" applyFont="1" applyFill="1" applyBorder="1" applyAlignment="1">
      <x:alignment horizontal="center" vertical="center"/>
    </x:xf>
    <x:xf numFmtId="200" fontId="48" fillId="13" borderId="10" xfId="0" applyNumberFormat="1" applyFont="1" applyFill="1" applyBorder="1" applyAlignment="1">
      <x:alignment horizontal="center" vertical="center"/>
    </x:xf>
    <x:xf numFmtId="0" fontId="49" fillId="14" borderId="0" xfId="0" applyNumberFormat="1" applyFont="1" applyFill="1" applyBorder="1" applyAlignment="1">
      <x:alignment vertical="center"/>
    </x:xf>
    <x:xf numFmtId="0" fontId="49" fillId="14" borderId="0" xfId="0" applyNumberFormat="1" applyFont="1" applyFill="1" applyBorder="1" applyAlignment="1">
      <x:alignment vertical="center" wrapText="1"/>
    </x:xf>
    <x:xf numFmtId="200" fontId="49" fillId="14" borderId="0" xfId="0" applyNumberFormat="1" applyFont="1" applyFill="1" applyBorder="1" applyAlignment="1">
      <x:alignment horizontal="center" vertical="center"/>
    </x:xf>
    <x:xf numFmtId="0" fontId="49" fillId="14" borderId="0" xfId="0" applyNumberFormat="1" applyFont="1" applyFill="1" applyBorder="1" applyAlignment="1">
      <x:alignment horizontal="center" vertical="center"/>
    </x:xf>
    <x:xf numFmtId="0" fontId="49" fillId="14" borderId="10" xfId="0" applyNumberFormat="1" applyFont="1" applyFill="1" applyBorder="1" applyAlignment="1">
      <x:alignment vertical="center"/>
    </x:xf>
    <x:xf numFmtId="0" fontId="49" fillId="14" borderId="10" xfId="0" applyNumberFormat="1" applyFont="1" applyFill="1" applyBorder="1" applyAlignment="1">
      <x:alignment vertical="center" wrapText="1"/>
    </x:xf>
    <x:xf numFmtId="200" fontId="49" fillId="14" borderId="10" xfId="0" applyNumberFormat="1" applyFont="1" applyFill="1" applyBorder="1" applyAlignment="1">
      <x:alignment horizontal="center" vertical="center"/>
    </x:xf>
    <x:xf numFmtId="0" fontId="49" fillId="14" borderId="10" xfId="0" applyNumberFormat="1" applyFont="1" applyFill="1" applyBorder="1" applyAlignment="1">
      <x:alignment horizontal="center" vertical="center"/>
    </x:xf>
  </x:cellXfs>
  <x:cellStyles count="3">
    <x:cellStyle name="Normal" xfId="0"/>
    <x:cellStyle name="Normal 2" xfId="2"/>
    <x:cellStyle name="Per cent" xfId="1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87ac97f1e4c7a" /><Relationship Type="http://schemas.openxmlformats.org/officeDocument/2006/relationships/theme" Target="/xl/theme/theme1.xml" Id="R5f01acd89dd24c47" /><Relationship Type="http://schemas.openxmlformats.org/officeDocument/2006/relationships/sheetMetadata" Target="/xl/metadata1.xml" Id="R3e43237e3369435e" /><Relationship Type="http://schemas.openxmlformats.org/officeDocument/2006/relationships/sharedStrings" Target="/xl/sharedStrings.xml" Id="R40aa44fa6319482a" /><Relationship Type="http://schemas.openxmlformats.org/officeDocument/2006/relationships/worksheet" Target="/xl/worksheets/sheet1.xml" Id="R714b784b612748b3" /><Relationship Type="http://schemas.openxmlformats.org/officeDocument/2006/relationships/worksheet" Target="/xl/worksheets/sheet2.xml" Id="R9f3e5435d69d4e29" /><Relationship Type="http://schemas.openxmlformats.org/officeDocument/2006/relationships/worksheet" Target="/xl/worksheets/sheet3.xml" Id="R0f2fb78a267c433b" /><Relationship Type="http://schemas.openxmlformats.org/officeDocument/2006/relationships/worksheet" Target="/xl/worksheets/sheet4.xml" Id="R4e5e5811debb4a4c" /><Relationship Type="http://schemas.openxmlformats.org/officeDocument/2006/relationships/worksheet" Target="/xl/worksheets/sheet5.xml" Id="Rf1b18f6b0968441a" /><Relationship Type="http://schemas.openxmlformats.org/officeDocument/2006/relationships/worksheet" Target="/xl/worksheets/sheet6.xml" Id="Rca3760642ebc4346" /><Relationship Type="http://schemas.openxmlformats.org/officeDocument/2006/relationships/worksheet" Target="/xl/worksheets/sheet7.xml" Id="Rfcbf8fb4a3dc4b88" /><Relationship Type="http://schemas.openxmlformats.org/officeDocument/2006/relationships/worksheet" Target="/xl/worksheets/sheet8.xml" Id="R7f720c5092f44922" /><Relationship Type="http://schemas.openxmlformats.org/officeDocument/2006/relationships/worksheet" Target="/xl/worksheets/sheet9.xml" Id="Ra5f87ce47c874a91" /><Relationship Type="http://schemas.openxmlformats.org/officeDocument/2006/relationships/worksheet" Target="/xl/worksheets/sheet10.xml" Id="Red7f0b0b679c4fe7" /><Relationship Type="http://schemas.openxmlformats.org/officeDocument/2006/relationships/worksheet" Target="/xl/worksheets/sheet11.xml" Id="Raf8664a0a77f4684" /><Relationship Type="http://schemas.openxmlformats.org/officeDocument/2006/relationships/worksheet" Target="/xl/worksheets/sheet12.xml" Id="R26c68d0f91db4cc9" /><Relationship Type="http://schemas.openxmlformats.org/officeDocument/2006/relationships/worksheet" Target="/xl/worksheets/sheet13.xml" Id="R9e5ce7455a0d42c9" /><Relationship Type="http://schemas.openxmlformats.org/officeDocument/2006/relationships/worksheet" Target="/xl/worksheets/sheet14.xml" Id="Rd9719de8479f4833" /><Relationship Type="http://schemas.openxmlformats.org/officeDocument/2006/relationships/worksheet" Target="/xl/worksheets/sheet15.xml" Id="R6e90043fde444564" /><Relationship Type="http://schemas.openxmlformats.org/officeDocument/2006/relationships/worksheet" Target="/xl/worksheets/sheet16.xml" Id="Rab9ed947514042f0" /><Relationship Type="http://schemas.openxmlformats.org/officeDocument/2006/relationships/worksheet" Target="/xl/worksheets/sheet17.xml" Id="R86be40062d0841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a99e0fe2674672" /><Relationship Type="http://schemas.openxmlformats.org/officeDocument/2006/relationships/chart" Target="/xl/drawings/charts/chart2.xml" Id="Rf85e6bdeb3b0443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f285dcc9970475b" /><Relationship Type="http://schemas.openxmlformats.org/officeDocument/2006/relationships/chart" Target="/xl/drawings/charts/chart4.xml" Id="R1ae1af83064143a2" /><Relationship Type="http://schemas.openxmlformats.org/officeDocument/2006/relationships/chart" Target="/xl/drawings/charts/chart5.xml" Id="R6df45a786d7347db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'14_DASHBOARD'!$B$17</c:f>
              <c:strCache>
                <c:ptCount val="1"/>
                <c:pt idx="0">
                  <c:v>Revenue (£m)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invertIfNegative val="0"/>
          <c:cat>
            <c:strRef>
              <c:f>'14_DASHBOARD'!$A$18:$A$25</c:f>
              <c:strCache>
                <c:ptCount val="8"/>
                <c:pt idx="0">
                  <c:v>FY2024A</c:v>
                </c:pt>
                <c:pt idx="1">
                  <c:v>FY2025A</c:v>
                </c:pt>
                <c:pt idx="2">
                  <c:v>FY2026A</c:v>
                </c:pt>
                <c:pt idx="3">
                  <c:v>FY2027E</c:v>
                </c:pt>
                <c:pt idx="4">
                  <c:v>FY2028E</c:v>
                </c:pt>
                <c:pt idx="5">
                  <c:v>FY2029E</c:v>
                </c:pt>
                <c:pt idx="6">
                  <c:v>FY2030E</c:v>
                </c:pt>
                <c:pt idx="7">
                  <c:v>FY2031E</c:v>
                </c:pt>
              </c:strCache>
            </c:strRef>
          </c:cat>
          <c:val>
            <c:numRef>
              <c:f>'14_DASHBOARD'!$B$18:$B$25</c:f>
              <c:numCache>
                <c:formatCode>General</c:formatCode>
                <c:ptCount val="8"/>
                <c:pt idx="0">
                  <c:v>19850</c:v>
                </c:pt>
                <c:pt idx="1">
                  <c:v>18378</c:v>
                </c:pt>
                <c:pt idx="2">
                  <c:v>17687</c:v>
                </c:pt>
                <c:pt idx="3">
                  <c:v>19101.960000000003</c:v>
                </c:pt>
                <c:pt idx="4">
                  <c:v>20439.097200000004</c:v>
                </c:pt>
                <c:pt idx="5">
                  <c:v>21767.638518000003</c:v>
                </c:pt>
                <c:pt idx="6">
                  <c:v>23073.696829080003</c:v>
                </c:pt>
                <c:pt idx="7">
                  <c:v>24342.7501546794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0110912"/>
        <c:axId val="2030031152"/>
      </c:barChart>
      <c:lineChart>
        <c:grouping val="standard"/>
        <c:varyColors val="0"/>
        <c:ser>
          <c:idx val="1"/>
          <c:order val="1"/>
          <c:tx>
            <c:strRef>
              <c:f>'14_DASHBOARD'!$C$17</c:f>
              <c:strCache>
                <c:ptCount val="1"/>
                <c:pt idx="0">
                  <c:v>Operating Profit (£m)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'14_DASHBOARD'!$A$18:$A$25</c:f>
              <c:strCache>
                <c:ptCount val="8"/>
                <c:pt idx="0">
                  <c:v>FY2024A</c:v>
                </c:pt>
                <c:pt idx="1">
                  <c:v>FY2025A</c:v>
                </c:pt>
                <c:pt idx="2">
                  <c:v>FY2026A</c:v>
                </c:pt>
                <c:pt idx="3">
                  <c:v>FY2027E</c:v>
                </c:pt>
                <c:pt idx="4">
                  <c:v>FY2028E</c:v>
                </c:pt>
                <c:pt idx="5">
                  <c:v>FY2029E</c:v>
                </c:pt>
                <c:pt idx="6">
                  <c:v>FY2030E</c:v>
                </c:pt>
                <c:pt idx="7">
                  <c:v>FY2031E</c:v>
                </c:pt>
              </c:strCache>
            </c:strRef>
          </c:cat>
          <c:val>
            <c:numRef>
              <c:f>'14_DASHBOARD'!$C$18:$C$25</c:f>
              <c:numCache>
                <c:formatCode>General</c:formatCode>
                <c:ptCount val="8"/>
                <c:pt idx="0">
                  <c:v>4475</c:v>
                </c:pt>
                <c:pt idx="1">
                  <c:v>4934</c:v>
                </c:pt>
                <c:pt idx="2">
                  <c:v>5431</c:v>
                </c:pt>
                <c:pt idx="3">
                  <c:v>6074.423280000001</c:v>
                </c:pt>
                <c:pt idx="4">
                  <c:v>6540.511104000001</c:v>
                </c:pt>
                <c:pt idx="5">
                  <c:v>6987.4119642780015</c:v>
                </c:pt>
                <c:pt idx="6">
                  <c:v>7429.730378963761</c:v>
                </c:pt>
                <c:pt idx="7">
                  <c:v>7862.708299961447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110912"/>
        <c:axId val="2030031152"/>
      </c:lineChart>
      <c:catAx>
        <c:axId val="198011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030031152"/>
        <c:lblAlgn val="ctr"/>
        <c:lblOffset val="100"/>
        <c:noMultiLvlLbl val="0"/>
      </c:catAx>
      <c:valAx>
        <c:axId val="203003115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80110912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layout>
        <c:manualLayout>
          <c:xMode val="edge"/>
          <c:yMode val="edge"/>
          <c:x val="0.0006294838145231708"/>
          <c:y val="0.9218744531933508"/>
          <c:w val="0.3788412057756316"/>
          <c:h val="0.06127839015629687"/>
        </c:manualLayout>
      </c:layout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'14_DASHBOARD'!$F$17</c:f>
              <c:strCache>
                <c:ptCount val="1"/>
                <c:pt idx="0">
                  <c:v>Gross Debt (£m)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invertIfNegative val="0"/>
          <c:cat>
            <c:strRef>
              <c:f>'14_DASHBOARD'!$E$18:$E$23</c:f>
              <c:strCache>
                <c:ptCount val="6"/>
                <c:pt idx="0">
                  <c:v>FY2026A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</c:strCache>
            </c:strRef>
          </c:cat>
          <c:val>
            <c:numRef>
              <c:f>'14_DASHBOARD'!$F$18:$F$23</c:f>
              <c:numCache>
                <c:formatCode>General</c:formatCode>
                <c:ptCount val="6"/>
                <c:pt idx="0">
                  <c:v>46755</c:v>
                </c:pt>
                <c:pt idx="1">
                  <c:v>53640.43082737349</c:v>
                </c:pt>
                <c:pt idx="2">
                  <c:v>60851.98886071966</c:v>
                </c:pt>
                <c:pt idx="3">
                  <c:v>68111.84747862161</c:v>
                </c:pt>
                <c:pt idx="4">
                  <c:v>75238.52064228042</c:v>
                </c:pt>
                <c:pt idx="5">
                  <c:v>82236.15728290583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561263"/>
        <c:axId val="1060546143"/>
      </c:barChart>
      <c:lineChart>
        <c:grouping val="standard"/>
        <c:varyColors val="0"/>
        <c:ser>
          <c:idx val="1"/>
          <c:order val="1"/>
          <c:tx>
            <c:strRef>
              <c:f>'14_DASHBOARD'!$G$17</c:f>
              <c:strCache>
                <c:ptCount val="1"/>
                <c:pt idx="0">
                  <c:v>Additional Funding (£m)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'14_DASHBOARD'!$E$18:$E$23</c:f>
              <c:strCache>
                <c:ptCount val="6"/>
                <c:pt idx="0">
                  <c:v>FY2026A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</c:strCache>
            </c:strRef>
          </c:cat>
          <c:val>
            <c:numRef>
              <c:f>'14_DASHBOARD'!$G$18:$G$23</c:f>
              <c:numCache>
                <c:formatCode>General</c:formatCode>
                <c:ptCount val="6"/>
                <c:pt idx="0">
                  <c:v>0</c:v>
                </c:pt>
                <c:pt idx="1">
                  <c:v>4607.618327373491</c:v>
                </c:pt>
                <c:pt idx="2">
                  <c:v>5044.084960057016</c:v>
                </c:pt>
                <c:pt idx="3">
                  <c:v>5383.107921696925</c:v>
                </c:pt>
                <c:pt idx="4">
                  <c:v>5623.663631072661</c:v>
                </c:pt>
                <c:pt idx="5">
                  <c:v>5860.044180767933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024400"/>
        <c:axId val="1941560896"/>
      </c:lineChart>
      <c:catAx>
        <c:axId val="106056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060546143"/>
        <c:lblAlgn val="ctr"/>
        <c:lblOffset val="100"/>
        <c:noMultiLvlLbl val="0"/>
      </c:catAx>
      <c:valAx>
        <c:axId val="1060546143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060561263"/>
        <c:crossBetween val="between"/>
      </c:valAx>
      <c:valAx>
        <c:axId val="194156089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41024400"/>
        <c:crosses val="max"/>
        <c:crossBetween val="between"/>
      </c:valAx>
      <c:catAx>
        <c:axId val="1941024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560896"/>
        <c:lblAlgn val="ctr"/>
        <c:lblOffset val="100"/>
        <c:noMultiLvlLbl val="0"/>
      </c:cat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&amp; Operating Profit Trend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Revenue (£m)</c:v>
          </c:tx>
          <c:marker>
            <c:symbol val="none"/>
          </c:marker>
          <c:cat>
            <c:strRef>
              <c:f>'14_DASHBOARD (2)'!$P$4:$P$11</c:f>
              <c:strCache>
                <c:ptCount val="2"/>
                <c:pt idx="0">
                  <c:v>FY2024A</c:v>
                </c:pt>
                <c:pt idx="1">
                  <c:v>FY2025A</c:v>
                </c:pt>
              </c:strCache>
            </c:strRef>
          </c:cat>
          <c:val>
            <c:numRef>
              <c:f>'14_DASHBOARD (2)'!$Q$4:$Q$11</c:f>
              <c:numCache>
                <c:formatCode>#,##0</c:formatCode>
                <c:ptCount val="8"/>
                <c:pt idx="0">
                  <c:v>19850</c:v>
                </c:pt>
                <c:pt idx="1">
                  <c:v>18378</c:v>
                </c:pt>
              </c:numCache>
            </c:numRef>
          </c:val>
        </c:ser>
        <c:ser>
          <c:idx val="1"/>
          <c:order val="1"/>
          <c:tx>
            <c:v>Operating Profit (£m)</c:v>
          </c:tx>
          <c:marker>
            <c:symbol val="none"/>
          </c:marker>
          <c:cat>
            <c:strRef>
              <c:f>'14_DASHBOARD (2)'!$P$4:$P$11</c:f>
              <c:strCache>
                <c:ptCount val="2"/>
                <c:pt idx="0">
                  <c:v>FY2024A</c:v>
                </c:pt>
                <c:pt idx="1">
                  <c:v>FY2025A</c:v>
                </c:pt>
              </c:strCache>
            </c:strRef>
          </c:cat>
          <c:val>
            <c:numRef>
              <c:f>'14_DASHBOARD (2)'!$R$4:$R$11</c:f>
              <c:numCache>
                <c:formatCode>#,##0</c:formatCode>
                <c:ptCount val="8"/>
                <c:pt idx="0">
                  <c:v>4475</c:v>
                </c:pt>
                <c:pt idx="1">
                  <c:v>4934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Gross Debt Outlook</a:t>
            </a:r>
          </a:p>
        </c:rich>
      </c:tx>
    </c:title>
    <c:autoTitleDeleted val="0"/>
    <c:plotArea>
      <c:layout>
        <c:manualLayout>
          <c:layoutTarget val="inner"/>
          <c:xMode val="edge"/>
          <c:yMode val="edge"/>
          <c:x val="0.09905688305919119"/>
          <c:y val="0.04080874760614592"/>
          <c:w val="0.8864026750487652"/>
          <c:h val="0.8383006062959466"/>
        </c:manualLayout>
      </c:layout>
      <c:barChart>
        <c:barDir val="col"/>
        <c:grouping val="clustered"/>
        <c:varyColors val="0"/>
        <c:ser>
          <c:idx val="0"/>
          <c:order val="0"/>
          <c:tx>
            <c:v>Gross Debt (£m)</c:v>
          </c:tx>
          <c:cat>
            <c:strRef>
              <c:f>'14_DASHBOARD (2)'!$T$4:$T$9</c:f>
              <c:strCache>
                <c:ptCount val="6"/>
                <c:pt idx="0">
                  <c:v>FY2026A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</c:strCache>
            </c:strRef>
          </c:cat>
          <c:val>
            <c:numRef>
              <c:f>'14_DASHBOARD (2)'!$U$4:$U$9</c:f>
              <c:numCache>
                <c:formatCode>#,##0</c:formatCode>
                <c:ptCount val="6"/>
                <c:pt idx="0">
                  <c:v>46755</c:v>
                </c:pt>
                <c:pt idx="1">
                  <c:v>53640.43</c:v>
                </c:pt>
                <c:pt idx="2">
                  <c:v>60851.99</c:v>
                </c:pt>
                <c:pt idx="3">
                  <c:v>68111.85</c:v>
                </c:pt>
                <c:pt idx="4">
                  <c:v>75238.52</c:v>
                </c:pt>
                <c:pt idx="5">
                  <c:v>82236.16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FY2027 Additional Funding by Scenario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Additional Funding (£m)</c:v>
          </c:tx>
          <c:cat>
            <c:strRef>
              <c:f>'14_DASHBOARD (2)'!$X$4:$X$6</c:f>
              <c:strCache>
                <c:ptCount val="3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</c:strCache>
            </c:strRef>
          </c:cat>
          <c:val>
            <c:numRef>
              <c:f>'14_DASHBOARD (2)'!$Y$4:$Y$6</c:f>
              <c:numCache>
                <c:formatCode>#,##0</c:formatCode>
                <c:ptCount val="3"/>
                <c:pt idx="0">
                  <c:v>4607.62</c:v>
                </c:pt>
                <c:pt idx="1">
                  <c:v>4050.95</c:v>
                </c:pt>
                <c:pt idx="2">
                  <c:v>5071.89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742461</xdr:colOff>
      <xdr:row>38</xdr:row>
      <xdr:rowOff>15632</xdr:rowOff>
    </xdr:from>
    <xdr:to>
      <xdr:col>4</xdr:col>
      <xdr:colOff>156307</xdr:colOff>
      <xdr:row>55</xdr:row>
      <xdr:rowOff>58615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a99e0fe2674672"/>
        </a:graphicData>
      </a:graphic>
    </xdr:graphicFrame>
    <xdr:clientData/>
  </xdr:twoCellAnchor>
  <xdr:twoCellAnchor>
    <xdr:from>
      <xdr:col>0</xdr:col>
      <xdr:colOff>742460</xdr:colOff>
      <xdr:row>59</xdr:row>
      <xdr:rowOff>54708</xdr:rowOff>
    </xdr:from>
    <xdr:to>
      <xdr:col>4</xdr:col>
      <xdr:colOff>117229</xdr:colOff>
      <xdr:row>77</xdr:row>
      <xdr:rowOff>39076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5e6bdeb3b0443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7</xdr:row>
      <xdr:rowOff>203200</xdr:rowOff>
    </xdr:from>
    <xdr:to>
      <xdr:col>7</xdr:col>
      <xdr:colOff>33717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285dcc9970475b"/>
        </a:graphicData>
      </a:graphic>
    </xdr:graphicFrame>
    <xdr:clientData/>
  </xdr:twoCellAnchor>
  <xdr:twoCellAnchor>
    <xdr:from>
      <xdr:col>7</xdr:col>
      <xdr:colOff>146108</xdr:colOff>
      <xdr:row>7</xdr:row>
      <xdr:rowOff>190500</xdr:rowOff>
    </xdr:from>
    <xdr:to>
      <xdr:col>13</xdr:col>
      <xdr:colOff>753010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e1af83064143a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6</xdr:col>
      <xdr:colOff>798561</xdr:colOff>
      <xdr:row>41</xdr:row>
      <xdr:rowOff>115454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f45a786d7347d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5392bbcc9a52467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2.xml" Id="R5baf3bb5b6314269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1" width="54" customWidth="1"/>
    <x:col min="2" max="2" width="45.5" customWidth="1"/>
  </x:cols>
  <x:sheetData>
    <x:row r="1" ht="19">
      <x:c r="A1" s="7" t="s">
        <x:v>0</x:v>
      </x:c>
      <x:c r="B1" s="7"/>
    </x:row>
    <x:row r="2">
      <x:c r="A2" s="5" t="s">
        <x:v>1</x:v>
      </x:c>
      <x:c r="B2" s="5"/>
    </x:row>
    <x:row r="4">
      <x:c r="A4" s="5" t="s">
        <x:v>2</x:v>
      </x:c>
      <x:c r="B4" s="6">
        <x:v>1</x:v>
      </x:c>
    </x:row>
    <x:row r="5">
      <x:c r="A5" s="5" t="s">
        <x:v>3</x:v>
      </x:c>
      <x:c r="B5" s="1">
        <x:v>46270</x:v>
      </x:c>
    </x:row>
    <x:row r="6">
      <x:c r="A6" s="5" t="s">
        <x:v>4</x:v>
      </x:c>
      <x:c r="B6" t="s">
        <x:v>5</x:v>
      </x:c>
    </x:row>
    <x:row r="7">
      <x:c r="A7" s="5" t="s">
        <x:v>6</x:v>
      </x:c>
      <x:c r="B7" t="s">
        <x:v>7</x:v>
      </x:c>
    </x:row>
    <x:row r="8">
      <x:c r="A8" s="5" t="s">
        <x:v>8</x:v>
      </x:c>
      <x:c r="B8" t="s">
        <x:v>9</x:v>
      </x:c>
    </x:row>
    <x:row r="9">
      <x:c r="A9" s="5" t="s">
        <x:v>10</x:v>
      </x:c>
      <x:c r="B9" s="2">
        <x:v>46112</x:v>
      </x:c>
    </x:row>
    <x:row r="10">
      <x:c r="A10" s="5"/>
    </x:row>
    <x:row r="11" ht="129" customHeight="1">
      <x:c r="A11" s="8" t="s">
        <x:v>11</x:v>
      </x:c>
      <x:c r="B11" s="3" t="s">
        <x:v>12</x:v>
      </x:c>
    </x:row>
    <x:row r="14">
      <x:c r="A14" s="5" t="s">
        <x:v>13</x:v>
      </x:c>
      <x:c r="B14" t="s">
        <x:v>14</x:v>
      </x:c>
    </x:row>
    <x:row r="15">
      <x:c r="B15" t="s">
        <x:v>15</x:v>
      </x:c>
    </x:row>
    <x:row r="16">
      <x:c r="B16" t="s">
        <x:v>16</x:v>
      </x:c>
    </x:row>
    <x:row r="17">
      <x:c r="B17" t="s">
        <x:v>17</x:v>
      </x:c>
    </x:row>
    <x:row r="18">
      <x:c r="B18" t="s">
        <x:v>18</x:v>
      </x:c>
    </x:row>
    <x:row r="19">
      <x:c r="B19" t="s">
        <x:v>19</x:v>
      </x:c>
    </x:row>
    <x:row r="20">
      <x:c r="B20" t="s">
        <x:v>20</x:v>
      </x:c>
    </x:row>
    <x:row r="21">
      <x:c r="B21" t="s">
        <x:v>21</x:v>
      </x:c>
    </x:row>
    <x:row r="22">
      <x:c r="B22" t="s">
        <x:v>22</x:v>
      </x:c>
    </x:row>
    <x:row r="23">
      <x:c r="B23" t="s">
        <x:v>23</x:v>
      </x:c>
    </x:row>
    <x:row r="24">
      <x:c r="B24" t="s">
        <x:v>24</x:v>
      </x:c>
    </x:row>
    <x:row r="25">
      <x:c r="B25" t="s">
        <x:v>25</x:v>
      </x:c>
    </x:row>
    <x:row r="26">
      <x:c r="B26" t="s">
        <x:v>26</x:v>
      </x:c>
    </x:row>
    <x:row r="27">
      <x:c r="B27" t="s">
        <x:v>27</x:v>
      </x:c>
    </x:row>
    <x:row r="29">
      <x:c r="A29" s="5" t="s">
        <x:v>28</x:v>
      </x:c>
    </x:row>
    <x:row r="30">
      <x:c r="A30" s="4" t="s">
        <x:v>29</x:v>
      </x:c>
      <x:c r="B30" s="4" t="s">
        <x:v>30</x:v>
      </x:c>
    </x:row>
    <x:row r="31">
      <x:c r="A31" t="s">
        <x:v>31</x:v>
      </x:c>
      <x:c r="B31" t="s">
        <x:v>32</x:v>
      </x:c>
    </x:row>
    <x:row r="32">
      <x:c r="A32" t="s">
        <x:v>33</x:v>
      </x:c>
      <x:c r="B32" t="s">
        <x:v>34</x:v>
      </x:c>
    </x:row>
    <x:row r="33">
      <x:c r="A33" t="s">
        <x:v>35</x:v>
      </x:c>
      <x:c r="B33" t="s">
        <x:v>36</x:v>
      </x:c>
    </x:row>
    <x:row r="34">
      <x:c r="A34" t="s">
        <x:v>37</x:v>
      </x:c>
      <x:c r="B34" t="s">
        <x:v>38</x:v>
      </x:c>
    </x:row>
    <x:row r="35" ht="17">
      <x:c r="A35" t="s">
        <x:v>39</x:v>
      </x:c>
      <x:c r="B35" t="s">
        <x:v>40</x:v>
      </x:c>
    </x:row>
    <x:row r="36" ht="17">
      <x:c r="A36" t="s">
        <x:v>41</x:v>
      </x:c>
      <x:c r="B36" t="s">
        <x:v>42</x:v>
      </x:c>
    </x:row>
    <x:row r="37">
      <x:c r="A37" t="s">
        <x:v>43</x:v>
      </x:c>
      <x:c r="B37" t="s">
        <x:v>44</x:v>
      </x:c>
    </x:row>
    <x:row r="38" ht="17">
      <x:c r="A38" t="s">
        <x:v>45</x:v>
      </x:c>
      <x:c r="B38" t="s">
        <x:v>46</x:v>
      </x:c>
    </x:row>
    <x:row r="39" ht="17">
      <x:c r="A39" t="s">
        <x:v>47</x:v>
      </x:c>
      <x:c r="B39" t="s">
        <x:v>48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20.33203125" customWidth="1"/>
    <x:col min="2" max="2" width="15.5" customWidth="1"/>
    <x:col min="3" max="3" width="17" customWidth="1"/>
    <x:col min="5" max="5" width="13.1640625" customWidth="1"/>
    <x:col min="7" max="7" width="17" customWidth="1"/>
  </x:cols>
  <x:sheetData>
    <x:row r="1">
      <x:c r="A1" s="9" t="s">
        <x:v>49</x:v>
      </x:c>
      <x:c r="B1" s="9"/>
    </x:row>
    <x:row r="4">
      <x:c r="A4" t="s">
        <x:v>50</x:v>
      </x:c>
      <x:c r="B4" s="12" t="s">
        <x:v>51</x:v>
      </x:c>
      <x:c r="D4" t="s">
        <x:v>51</x:v>
      </x:c>
      <x:c r="H4">
        <x:v>2026</x:v>
      </x:c>
    </x:row>
    <x:row r="5">
      <x:c r="A5" t="s">
        <x:v>52</x:v>
      </x:c>
      <x:c r="B5" s="11" t="s">
        <x:v>53</x:v>
      </x:c>
      <x:c r="D5" t="s">
        <x:v>54</x:v>
      </x:c>
    </x:row>
    <x:row r="6">
      <x:c r="A6" t="s">
        <x:v>55</x:v>
      </x:c>
      <x:c r="B6" s="11" t="s">
        <x:v>56</x:v>
      </x:c>
      <x:c r="D6" t="s">
        <x:v>57</x:v>
      </x:c>
    </x:row>
    <x:row r="7">
      <x:c r="A7" t="s">
        <x:v>58</x:v>
      </x:c>
      <x:c r="B7" s="11">
        <x:v>2026</x:v>
      </x:c>
    </x:row>
    <x:row r="8">
      <x:c r="A8" t="s">
        <x:v>59</x:v>
      </x:c>
      <x:c r="B8" s="11">
        <x:v>2027</x:v>
      </x:c>
    </x:row>
    <x:row r="9">
      <x:c r="A9" t="s">
        <x:v>60</x:v>
      </x:c>
      <x:c r="B9" s="11">
        <x:v>2031</x:v>
      </x:c>
    </x:row>
  </x:sheetData>
  <x:mergeCells>
    <x:mergeCell ref="A1:B1"/>
  </x:mergeCells>
  <x:dataValidations count="1">
    <x:dataValidation type="list" allowBlank="1" showInputMessage="1" showErrorMessage="1" sqref="B4">
      <x:formula1>$D$4:$D$6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cols>
    <x:col min="1" max="1" width="54" customWidth="1"/>
  </x:cols>
  <x:sheetData>
    <x:row r="1">
      <x:c r="A1" s="13" t="s">
        <x:v>61</x:v>
      </x:c>
      <x:c r="B1" s="13"/>
      <x:c r="C1" s="13"/>
      <x:c r="D1" s="13"/>
      <x:c r="E1" s="13"/>
    </x:row>
    <x:row r="3">
      <x:c r="A3" t="s">
        <x:v>62</x:v>
      </x:c>
      <x:c r="B3" s="10" t="s">
        <x:v>63</x:v>
      </x:c>
    </x:row>
    <x:row r="4">
      <x:c r="A4" t="s">
        <x:v>52</x:v>
      </x:c>
      <x:c r="B4" s="10" t="s">
        <x:v>44</x:v>
      </x:c>
    </x:row>
    <x:row r="6">
      <x:c r="A6" s="15" t="s">
        <x:v>64</x:v>
      </x:c>
      <x:c r="B6" s="15"/>
      <x:c r="C6" s="15"/>
      <x:c r="D6" s="15"/>
    </x:row>
    <x:row r="7">
      <x:c r="A7" s="5" t="s">
        <x:v>65</x:v>
      </x:c>
      <x:c r="B7" s="5" t="s">
        <x:v>66</x:v>
      </x:c>
      <x:c r="C7" s="5" t="s">
        <x:v>67</x:v>
      </x:c>
      <x:c r="D7" s="5" t="s">
        <x:v>68</x:v>
      </x:c>
    </x:row>
    <x:row r="8">
      <x:c r="A8" t="s">
        <x:v>69</x:v>
      </x:c>
      <x:c r="B8" s="18">
        <x:v>19850</x:v>
      </x:c>
      <x:c r="C8" s="18">
        <x:v>18378</x:v>
      </x:c>
      <x:c r="D8" s="18">
        <x:v>17687</x:v>
      </x:c>
      <x:c r="E8" s="4"/>
    </x:row>
    <x:row r="9">
      <x:c r="A9" t="s">
        <x:v>70</x:v>
      </x:c>
      <x:c r="B9" s="18">
        <x:v>-179</x:v>
      </x:c>
      <x:c r="C9" s="18">
        <x:v>-200</x:v>
      </x:c>
      <x:c r="D9" s="18">
        <x:v>-243</x:v>
      </x:c>
    </x:row>
    <x:row r="10">
      <x:c r="A10" t="s">
        <x:v>71</x:v>
      </x:c>
      <x:c r="B10" s="18">
        <x:v>-15208</x:v>
      </x:c>
      <x:c r="C10" s="18">
        <x:v>-13244</x:v>
      </x:c>
      <x:c r="D10" s="18">
        <x:v>-12502</x:v>
      </x:c>
    </x:row>
    <x:row r="11">
      <x:c r="A11" t="s">
        <x:v>72</x:v>
      </x:c>
      <x:c r="B11" s="18">
        <x:v>12</x:v>
      </x:c>
      <x:c r="C11" s="18">
        <x:v>0</x:v>
      </x:c>
      <x:c r="D11" s="18">
        <x:v>489</x:v>
      </x:c>
    </x:row>
    <x:row r="12">
      <x:c r="A12" s="4" t="s">
        <x:v>73</x:v>
      </x:c>
      <x:c r="B12" s="19">
        <x:v>4475</x:v>
      </x:c>
      <x:c r="C12" s="19">
        <x:v>4934</x:v>
      </x:c>
      <x:c r="D12" s="19">
        <x:v>5431</x:v>
      </x:c>
    </x:row>
    <x:row r="13">
      <x:c r="A13" t="s">
        <x:v>74</x:v>
      </x:c>
      <x:c r="B13" s="18">
        <x:v>248</x:v>
      </x:c>
      <x:c r="C13" s="18">
        <x:v>450</x:v>
      </x:c>
      <x:c r="D13" s="18">
        <x:v>380</x:v>
      </x:c>
    </x:row>
    <x:row r="14">
      <x:c r="A14" t="s">
        <x:v>75</x:v>
      </x:c>
      <x:c r="B14" s="18">
        <x:v>-1712</x:v>
      </x:c>
      <x:c r="C14" s="18">
        <x:v>-1807</x:v>
      </x:c>
      <x:c r="D14" s="18">
        <x:v>-1705</x:v>
      </x:c>
    </x:row>
    <x:row r="15">
      <x:c r="A15" t="s">
        <x:v>76</x:v>
      </x:c>
      <x:c r="B15" s="18">
        <x:v>37</x:v>
      </x:c>
      <x:c r="C15" s="18">
        <x:v>73</x:v>
      </x:c>
      <x:c r="D15" s="18">
        <x:v>76</x:v>
      </x:c>
    </x:row>
    <x:row r="16">
      <x:c r="A16" s="4" t="s">
        <x:v>77</x:v>
      </x:c>
      <x:c r="B16" s="19">
        <x:v>3048</x:v>
      </x:c>
      <x:c r="C16" s="19">
        <x:v>3650</x:v>
      </x:c>
      <x:c r="D16" s="19">
        <x:v>4182</x:v>
      </x:c>
    </x:row>
    <x:row r="17">
      <x:c r="A17" t="s">
        <x:v>78</x:v>
      </x:c>
      <x:c r="B17" s="18">
        <x:v>-831</x:v>
      </x:c>
      <x:c r="C17" s="18">
        <x:v>-821</x:v>
      </x:c>
      <x:c r="D17" s="18">
        <x:v>-939</x:v>
      </x:c>
    </x:row>
    <x:row r="18">
      <x:c r="A18" s="4" t="s">
        <x:v>79</x:v>
      </x:c>
      <x:c r="B18" s="19">
        <x:v>2217</x:v>
      </x:c>
      <x:c r="C18" s="19">
        <x:v>2829</x:v>
      </x:c>
      <x:c r="D18" s="19">
        <x:v>3243</x:v>
      </x:c>
    </x:row>
    <x:row r="19">
      <x:c r="A19" t="s">
        <x:v>80</x:v>
      </x:c>
      <x:c r="B19" s="18">
        <x:v>74</x:v>
      </x:c>
      <x:c r="C19" s="18">
        <x:v>76</x:v>
      </x:c>
      <x:c r="D19" s="18">
        <x:v>0</x:v>
      </x:c>
    </x:row>
    <x:row r="20">
      <x:c r="A20" s="4" t="s">
        <x:v>81</x:v>
      </x:c>
      <x:c r="B20" s="19">
        <x:v>2291</x:v>
      </x:c>
      <x:c r="C20" s="19">
        <x:v>2905</x:v>
      </x:c>
      <x:c r="D20" s="19">
        <x:v>3243</x:v>
      </x:c>
    </x:row>
    <x:row r="23">
      <x:c r="A23" s="15" t="s">
        <x:v>82</x:v>
      </x:c>
      <x:c r="B23" s="15"/>
      <x:c r="C23" s="15"/>
      <x:c r="D23" s="15"/>
    </x:row>
    <x:row r="24">
      <x:c r="A24" s="4" t="s">
        <x:v>83</x:v>
      </x:c>
      <x:c r="B24" s="4" t="s">
        <x:v>66</x:v>
      </x:c>
      <x:c r="C24" s="4" t="s">
        <x:v>67</x:v>
      </x:c>
      <x:c r="D24" s="4" t="s">
        <x:v>68</x:v>
      </x:c>
    </x:row>
    <x:row r="25">
      <x:c r="A25" s="5" t="s">
        <x:v>84</x:v>
      </x:c>
    </x:row>
    <x:row r="26">
      <x:c r="A26" s="5" t="s">
        <x:v>85</x:v>
      </x:c>
    </x:row>
    <x:row r="27">
      <x:c r="A27" t="s">
        <x:v>86</x:v>
      </x:c>
      <x:c r="B27" s="22">
        <x:v>9729</x:v>
      </x:c>
      <x:c r="C27" s="22">
        <x:v>9532</x:v>
      </x:c>
      <x:c r="D27" s="22">
        <x:v>9417</x:v>
      </x:c>
    </x:row>
    <x:row r="28">
      <x:c r="A28" t="s">
        <x:v>87</x:v>
      </x:c>
      <x:c r="B28" s="22">
        <x:v>3431</x:v>
      </x:c>
      <x:c r="C28" s="22">
        <x:v>3564</x:v>
      </x:c>
      <x:c r="D28" s="22">
        <x:v>3879</x:v>
      </x:c>
    </x:row>
    <x:row r="29">
      <x:c r="A29" t="s">
        <x:v>88</x:v>
      </x:c>
      <x:c r="B29" s="22">
        <x:v>68907</x:v>
      </x:c>
      <x:c r="C29" s="22">
        <x:v>74091</x:v>
      </x:c>
      <x:c r="D29" s="22">
        <x:v>81520</x:v>
      </x:c>
    </x:row>
    <x:row r="30">
      <x:c r="A30" t="s">
        <x:v>89</x:v>
      </x:c>
      <x:c r="B30" s="22">
        <x:v>848</x:v>
      </x:c>
      <x:c r="C30" s="22">
        <x:v>959</x:v>
      </x:c>
      <x:c r="D30" s="22">
        <x:v>1384</x:v>
      </x:c>
    </x:row>
    <x:row r="31">
      <x:c r="A31" t="s">
        <x:v>90</x:v>
      </x:c>
      <x:c r="B31" s="22">
        <x:v>2407</x:v>
      </x:c>
      <x:c r="C31" s="22">
        <x:v>2489</x:v>
      </x:c>
      <x:c r="D31" s="22">
        <x:v>2507</x:v>
      </x:c>
    </x:row>
    <x:row r="32">
      <x:c r="A32" t="s">
        <x:v>91</x:v>
      </x:c>
      <x:c r="B32" s="22">
        <x:v>880</x:v>
      </x:c>
      <x:c r="C32" s="22">
        <x:v>798</x:v>
      </x:c>
      <x:c r="D32" s="22">
        <x:v>842</x:v>
      </x:c>
    </x:row>
    <x:row r="33">
      <x:c r="A33" t="s">
        <x:v>92</x:v>
      </x:c>
      <x:c r="B33" s="22">
        <x:v>1420</x:v>
      </x:c>
      <x:c r="C33" s="22">
        <x:v>608</x:v>
      </x:c>
      <x:c r="D33" s="22">
        <x:v>624</x:v>
      </x:c>
    </x:row>
    <x:row r="34">
      <x:c r="A34" t="s">
        <x:v>93</x:v>
      </x:c>
      <x:c r="B34" s="22">
        <x:v>324</x:v>
      </x:c>
      <x:c r="C34" s="22">
        <x:v>369</x:v>
      </x:c>
      <x:c r="D34" s="22">
        <x:v>623</x:v>
      </x:c>
    </x:row>
    <x:row r="35">
      <x:c r="A35" s="4" t="s">
        <x:v>94</x:v>
      </x:c>
      <x:c r="B35" s="23">
        <x:v>87946</x:v>
      </x:c>
      <x:c r="C35" s="23">
        <x:v>92410</x:v>
      </x:c>
      <x:c r="D35" s="23">
        <x:v>100796</x:v>
      </x:c>
    </x:row>
    <x:row r="36">
      <x:c r="A36" s="5" t="s">
        <x:v>95</x:v>
      </x:c>
      <x:c r="B36" s="22"/>
      <x:c r="C36" s="22"/>
      <x:c r="D36" s="22"/>
    </x:row>
    <x:row r="37">
      <x:c r="A37" t="s">
        <x:v>96</x:v>
      </x:c>
      <x:c r="B37" s="22">
        <x:v>828</x:v>
      </x:c>
      <x:c r="C37" s="22">
        <x:v>557</x:v>
      </x:c>
      <x:c r="D37" s="22">
        <x:v>559</x:v>
      </x:c>
    </x:row>
    <x:row r="38">
      <x:c r="A38" t="s">
        <x:v>97</x:v>
      </x:c>
      <x:c r="B38" s="22">
        <x:v>3415</x:v>
      </x:c>
      <x:c r="C38" s="22">
        <x:v>4092</x:v>
      </x:c>
      <x:c r="D38" s="22">
        <x:v>3867</x:v>
      </x:c>
    </x:row>
    <x:row r="39">
      <x:c r="A39" t="s">
        <x:v>98</x:v>
      </x:c>
      <x:c r="B39" s="22">
        <x:v>11</x:v>
      </x:c>
      <x:c r="C39" s="22">
        <x:v>11</x:v>
      </x:c>
      <x:c r="D39" s="22">
        <x:v>16</x:v>
      </x:c>
    </x:row>
    <x:row r="40">
      <x:c r="A40" t="s">
        <x:v>99</x:v>
      </x:c>
      <x:c r="B40" s="22">
        <x:v>3699</x:v>
      </x:c>
      <x:c r="C40" s="22">
        <x:v>5753</x:v>
      </x:c>
      <x:c r="D40" s="22">
        <x:v>2453</x:v>
      </x:c>
    </x:row>
    <x:row r="41">
      <x:c r="A41" t="s">
        <x:v>100</x:v>
      </x:c>
      <x:c r="B41" s="22">
        <x:v>44</x:v>
      </x:c>
      <x:c r="C41" s="22">
        <x:v>113</x:v>
      </x:c>
      <x:c r="D41" s="22">
        <x:v>215</x:v>
      </x:c>
    </x:row>
    <x:row r="42">
      <x:c r="A42" t="s">
        <x:v>101</x:v>
      </x:c>
      <x:c r="B42" s="22">
        <x:v>559</x:v>
      </x:c>
      <x:c r="C42" s="22">
        <x:v>1178</x:v>
      </x:c>
      <x:c r="D42" s="22">
        <x:v>375</x:v>
      </x:c>
    </x:row>
    <x:row r="43">
      <x:c r="A43" t="s">
        <x:v>102</x:v>
      </x:c>
      <x:c r="B43" s="22">
        <x:v>1823</x:v>
      </x:c>
      <x:c r="C43" s="22">
        <x:v>2628</x:v>
      </x:c>
      <x:c r="D43" s="22">
        <x:v>0</x:v>
      </x:c>
    </x:row>
    <x:row r="44">
      <x:c r="A44" s="4" t="s">
        <x:v>103</x:v>
      </x:c>
      <x:c r="B44" s="23">
        <x:v>10379</x:v>
      </x:c>
      <x:c r="C44" s="23">
        <x:v>14332</x:v>
      </x:c>
      <x:c r="D44" s="23">
        <x:v>7485</x:v>
      </x:c>
    </x:row>
    <x:row r="45">
      <x:c r="A45" s="4" t="s">
        <x:v>104</x:v>
      </x:c>
      <x:c r="B45" s="23">
        <x:v>98325</x:v>
      </x:c>
      <x:c r="C45" s="23">
        <x:v>106742</x:v>
      </x:c>
      <x:c r="D45" s="23">
        <x:v>108281</x:v>
      </x:c>
    </x:row>
    <x:row r="47" ht="19">
      <x:c r="A47" s="24" t="s">
        <x:v>105</x:v>
      </x:c>
      <x:c r="B47" s="23"/>
      <x:c r="C47" s="23"/>
    </x:row>
    <x:row r="48">
      <x:c r="A48" s="5" t="s">
        <x:v>106</x:v>
      </x:c>
    </x:row>
    <x:row r="49">
      <x:c r="A49" t="s">
        <x:v>107</x:v>
      </x:c>
      <x:c r="B49" s="19">
        <x:v>-4859</x:v>
      </x:c>
      <x:c r="C49" s="18">
        <x:v>-4662</x:v>
      </x:c>
      <x:c r="D49" s="18">
        <x:v>-3900</x:v>
      </x:c>
      <x:c r="F49" s="4"/>
      <x:c r="G49" s="4"/>
      <x:c r="H49" s="4"/>
    </x:row>
    <x:row r="50">
      <x:c r="A50" t="s">
        <x:v>108</x:v>
      </x:c>
      <x:c r="B50" s="19">
        <x:v>-335</x:v>
      </x:c>
      <x:c r="C50" s="18">
        <x:v>-381</x:v>
      </x:c>
      <x:c r="D50" s="18">
        <x:v>-268</x:v>
      </x:c>
      <x:c r="F50" s="4"/>
      <x:c r="H50" s="17"/>
    </x:row>
    <x:row r="51">
      <x:c r="A51" t="s">
        <x:v>109</x:v>
      </x:c>
      <x:c r="B51" s="19">
        <x:v>-4076</x:v>
      </x:c>
      <x:c r="C51" s="18">
        <x:v>-4472</x:v>
      </x:c>
      <x:c r="D51" s="18">
        <x:v>-5049</x:v>
      </x:c>
      <x:c r="F51" s="4"/>
      <x:c r="H51" s="4"/>
    </x:row>
    <x:row r="52">
      <x:c r="A52" t="s">
        <x:v>110</x:v>
      </x:c>
      <x:c r="B52" s="19">
        <x:v>-127</x:v>
      </x:c>
      <x:c r="C52" s="18">
        <x:v>-96</x:v>
      </x:c>
      <x:c r="D52" s="18">
        <x:v>-110</x:v>
      </x:c>
      <x:c r="F52" s="4"/>
      <x:c r="H52" s="17"/>
    </x:row>
    <x:row r="53">
      <x:c r="A53" t="s">
        <x:v>111</x:v>
      </x:c>
      <x:c r="B53" s="19">
        <x:v>-220</x:v>
      </x:c>
      <x:c r="C53" s="18">
        <x:v>-219</x:v>
      </x:c>
      <x:c r="D53" s="18">
        <x:v>-45</x:v>
      </x:c>
      <x:c r="F53" s="4"/>
      <x:c r="H53" s="4"/>
    </x:row>
    <x:row r="54">
      <x:c r="A54" t="s">
        <x:v>112</x:v>
      </x:c>
      <x:c r="B54" s="19">
        <x:v>-298</x:v>
      </x:c>
      <x:c r="C54" s="18">
        <x:v>-357</x:v>
      </x:c>
      <x:c r="D54" s="18">
        <x:v>-425</x:v>
      </x:c>
      <x:c r="F54" s="4"/>
      <x:c r="H54" s="4"/>
    </x:row>
    <x:row r="55">
      <x:c r="A55" t="s">
        <x:v>113</x:v>
      </x:c>
      <x:c r="B55" s="19">
        <x:v>-1474</x:v>
      </x:c>
      <x:c r="C55" s="18">
        <x:v>-434</x:v>
      </x:c>
      <x:c r="D55" s="18">
        <x:v>0</x:v>
      </x:c>
      <x:c r="F55" s="4"/>
      <x:c r="H55" s="4"/>
    </x:row>
    <x:row r="56">
      <x:c r="A56" s="4" t="s">
        <x:v>114</x:v>
      </x:c>
      <x:c r="B56" s="19">
        <x:v>-11389</x:v>
      </x:c>
      <x:c r="C56" s="19">
        <x:v>-10621</x:v>
      </x:c>
      <x:c r="D56" s="19">
        <x:v>-9797</x:v>
      </x:c>
      <x:c r="F56" s="4"/>
      <x:c r="H56" s="17"/>
    </x:row>
    <x:row r="57">
      <x:c r="A57" s="5" t="s">
        <x:v>115</x:v>
      </x:c>
      <x:c r="B57" s="18"/>
      <x:c r="C57" s="18"/>
      <x:c r="D57" s="18"/>
      <x:c r="F57" s="4"/>
      <x:c r="G57" s="4"/>
      <x:c r="H57" s="17"/>
    </x:row>
    <x:row r="58">
      <x:c r="A58" t="s">
        <x:v>116</x:v>
      </x:c>
      <x:c r="B58" s="19">
        <x:v>-42213</x:v>
      </x:c>
      <x:c r="C58" s="18">
        <x:v>-42877</x:v>
      </x:c>
      <x:c r="D58" s="18">
        <x:v>-42855</x:v>
      </x:c>
      <x:c r="E58" s="4"/>
      <x:c r="F58" s="4"/>
      <x:c r="H58" s="17"/>
    </x:row>
    <x:row r="59">
      <x:c r="A59" t="s">
        <x:v>117</x:v>
      </x:c>
      <x:c r="B59" s="19">
        <x:v>-909</x:v>
      </x:c>
      <x:c r="C59" s="18">
        <x:v>-821</x:v>
      </x:c>
      <x:c r="D59" s="18">
        <x:v>-750</x:v>
      </x:c>
      <x:c r="F59" s="4"/>
      <x:c r="H59" s="4"/>
    </x:row>
    <x:row r="60">
      <x:c r="A60" t="s">
        <x:v>118</x:v>
      </x:c>
      <x:c r="B60" s="19">
        <x:v>-880</x:v>
      </x:c>
      <x:c r="C60" s="18">
        <x:v>-876</x:v>
      </x:c>
      <x:c r="D60" s="18">
        <x:v>-1114</x:v>
      </x:c>
      <x:c r="F60" s="4"/>
      <x:c r="H60" s="4"/>
    </x:row>
    <x:row r="61">
      <x:c r="A61" t="s">
        <x:v>119</x:v>
      </x:c>
      <x:c r="B61" s="19">
        <x:v>-2119</x:v>
      </x:c>
      <x:c r="C61" s="18">
        <x:v>-2418</x:v>
      </x:c>
      <x:c r="D61" s="18">
        <x:v>-2699</x:v>
      </x:c>
      <x:c r="F61" s="4"/>
      <x:c r="H61" s="17"/>
    </x:row>
    <x:row r="62">
      <x:c r="A62" t="s">
        <x:v>120</x:v>
      </x:c>
      <x:c r="B62" s="19">
        <x:v>-7519</x:v>
      </x:c>
      <x:c r="C62" s="18">
        <x:v>-8038</x:v>
      </x:c>
      <x:c r="D62" s="18">
        <x:v>-9040</x:v>
      </x:c>
      <x:c r="F62" s="4"/>
      <x:c r="H62" s="17"/>
    </x:row>
    <x:row r="63">
      <x:c r="A63" t="s">
        <x:v>121</x:v>
      </x:c>
      <x:c r="B63" s="19">
        <x:v>-593</x:v>
      </x:c>
      <x:c r="C63" s="18">
        <x:v>-573</x:v>
      </x:c>
      <x:c r="D63" s="18">
        <x:v>-360</x:v>
      </x:c>
      <x:c r="F63" s="4"/>
      <x:c r="H63" s="4"/>
    </x:row>
    <x:row r="64">
      <x:c r="A64" t="s">
        <x:v>122</x:v>
      </x:c>
      <x:c r="B64" s="19">
        <x:v>-2811</x:v>
      </x:c>
      <x:c r="C64" s="18">
        <x:v>-2692</x:v>
      </x:c>
      <x:c r="D64" s="18">
        <x:v>-2336</x:v>
      </x:c>
      <x:c r="F64" s="4"/>
      <x:c r="H64" s="17"/>
    </x:row>
    <x:row r="65">
      <x:c r="A65" s="4" t="s">
        <x:v>123</x:v>
      </x:c>
      <x:c r="B65" s="19">
        <x:v>-57044</x:v>
      </x:c>
      <x:c r="C65" s="19">
        <x:v>-58295</x:v>
      </x:c>
      <x:c r="D65" s="19">
        <x:v>-59154</x:v>
      </x:c>
      <x:c r="F65" s="4"/>
      <x:c r="G65" s="4"/>
      <x:c r="H65" s="17"/>
    </x:row>
    <x:row r="66">
      <x:c r="A66" s="4" t="s">
        <x:v>124</x:v>
      </x:c>
      <x:c r="B66" s="19">
        <x:v>-68433</x:v>
      </x:c>
      <x:c r="C66" s="19">
        <x:v>-68916</x:v>
      </x:c>
      <x:c r="D66" s="19">
        <x:v>-68951</x:v>
      </x:c>
      <x:c r="F66" s="4"/>
      <x:c r="G66" s="4"/>
      <x:c r="H66" s="17"/>
    </x:row>
    <x:row r="68">
      <x:c r="A68" s="5" t="s">
        <x:v>125</x:v>
      </x:c>
      <x:c r="B68" s="26" t="n">
        <x:f>29892</x:f>
        <x:v>29892</x:v>
      </x:c>
      <x:c r="C68" s="26" t="n">
        <x:f>37826</x:f>
        <x:v>37826</x:v>
      </x:c>
      <x:c r="D68" s="26" t="n">
        <x:f>39330</x:f>
        <x:v>39330</x:v>
      </x:c>
    </x:row>
    <x:row r="70">
      <x:c r="A70" s="5" t="s">
        <x:v>126</x:v>
      </x:c>
    </x:row>
    <x:row r="71">
      <x:c r="A71" t="s">
        <x:v>127</x:v>
      </x:c>
      <x:c r="B71" s="18">
        <x:v>493</x:v>
      </x:c>
      <x:c r="C71" s="18">
        <x:v>638</x:v>
      </x:c>
      <x:c r="D71" s="18">
        <x:v>647</x:v>
      </x:c>
      <x:c r="E71" s="4"/>
    </x:row>
    <x:row r="72">
      <x:c r="A72" t="s">
        <x:v>128</x:v>
      </x:c>
      <x:c r="B72" s="18">
        <x:v>1298</x:v>
      </x:c>
      <x:c r="C72" s="18">
        <x:v>1292</x:v>
      </x:c>
      <x:c r="D72" s="18">
        <x:v>1285</x:v>
      </x:c>
    </x:row>
    <x:row r="73">
      <x:c r="A73" t="s">
        <x:v>129</x:v>
      </x:c>
      <x:c r="B73" s="18">
        <x:v>32066</x:v>
      </x:c>
      <x:c r="C73" s="18">
        <x:v>40106</x:v>
      </x:c>
      <x:c r="D73" s="18">
        <x:v>41909</x:v>
      </x:c>
    </x:row>
    <x:row r="74">
      <x:c r="A74" t="s">
        <x:v>130</x:v>
      </x:c>
      <x:c r="B74" s="18">
        <x:v>-3990</x:v>
      </x:c>
      <x:c r="C74" s="18">
        <x:v>-4233</x:v>
      </x:c>
      <x:c r="D74" s="18">
        <x:v>-4542</x:v>
      </x:c>
    </x:row>
    <x:row r="75">
      <x:c r="A75" s="4" t="s">
        <x:v>131</x:v>
      </x:c>
      <x:c r="B75" s="19">
        <x:v>29867</x:v>
      </x:c>
      <x:c r="C75" s="19">
        <x:v>37803</x:v>
      </x:c>
      <x:c r="D75" s="19">
        <x:v>39299</x:v>
      </x:c>
    </x:row>
    <x:row r="76">
      <x:c r="A76" t="s">
        <x:v>132</x:v>
      </x:c>
      <x:c r="B76" s="18">
        <x:v>25</x:v>
      </x:c>
      <x:c r="C76" s="18">
        <x:v>23</x:v>
      </x:c>
      <x:c r="D76" s="18">
        <x:v>31</x:v>
      </x:c>
    </x:row>
    <x:row r="77">
      <x:c r="A77" s="4" t="s">
        <x:v>133</x:v>
      </x:c>
      <x:c r="B77" s="19">
        <x:v>29892</x:v>
      </x:c>
      <x:c r="C77" s="19">
        <x:v>37826</x:v>
      </x:c>
      <x:c r="D77" s="19">
        <x:v>39330</x:v>
      </x:c>
    </x:row>
    <x:row r="78">
      <x:c r="A78" s="4"/>
    </x:row>
    <x:row r="80">
      <x:c r="A80" s="15" t="s">
        <x:v>134</x:v>
      </x:c>
      <x:c r="B80" s="15"/>
      <x:c r="C80" s="15"/>
      <x:c r="D80" s="15"/>
    </x:row>
    <x:row r="81">
      <x:c r="A81" t="s">
        <x:v>135</x:v>
      </x:c>
      <x:c r="B81" s="4" t="s">
        <x:v>66</x:v>
      </x:c>
      <x:c r="C81" s="4" t="s">
        <x:v>67</x:v>
      </x:c>
      <x:c r="D81" s="4" t="s">
        <x:v>68</x:v>
      </x:c>
    </x:row>
    <x:row r="82">
      <x:c r="A82" s="4" t="s">
        <x:v>136</x:v>
      </x:c>
      <x:c r="E82" s="4"/>
    </x:row>
    <x:row r="83">
      <x:c r="A83" t="s">
        <x:v>137</x:v>
      </x:c>
      <x:c r="B83" s="18">
        <x:v>4475</x:v>
      </x:c>
      <x:c r="C83" s="18">
        <x:v>4934</x:v>
      </x:c>
      <x:c r="D83" s="18">
        <x:v>5431</x:v>
      </x:c>
    </x:row>
    <x:row r="84">
      <x:c r="A84" t="s">
        <x:v>138</x:v>
      </x:c>
      <x:c r="B84" s="18">
        <x:v>987</x:v>
      </x:c>
      <x:c r="C84" s="18">
        <x:v>-169</x:v>
      </x:c>
      <x:c r="D84" s="18">
        <x:v>-387</x:v>
      </x:c>
    </x:row>
    <x:row r="85">
      <x:c r="A85" t="s">
        <x:v>139</x:v>
      </x:c>
      <x:c r="B85" s="18">
        <x:v>-16</x:v>
      </x:c>
      <x:c r="C85" s="18">
        <x:v>66</x:v>
      </x:c>
      <x:c r="D85" s="18">
        <x:v>-31</x:v>
      </x:c>
    </x:row>
    <x:row r="86">
      <x:c r="A86" t="s">
        <x:v>140</x:v>
      </x:c>
      <x:c r="B86" s="18">
        <x:v>2061</x:v>
      </x:c>
      <x:c r="C86" s="18">
        <x:v>2175</x:v>
      </x:c>
      <x:c r="D86" s="18">
        <x:v>2247</x:v>
      </x:c>
    </x:row>
    <x:row r="87">
      <x:c r="A87" t="s">
        <x:v>141</x:v>
      </x:c>
      <x:c r="B87" s="18">
        <x:v>37</x:v>
      </x:c>
      <x:c r="C87" s="18">
        <x:v>37</x:v>
      </x:c>
      <x:c r="D87" s="18">
        <x:v>45</x:v>
      </x:c>
    </x:row>
    <x:row r="88">
      <x:c r="A88" t="s">
        <x:v>142</x:v>
      </x:c>
      <x:c r="B88" s="18">
        <x:v>-49</x:v>
      </x:c>
      <x:c r="C88" s="18">
        <x:v>104</x:v>
      </x:c>
      <x:c r="D88" s="18">
        <x:v>759</x:v>
      </x:c>
    </x:row>
    <x:row r="89">
      <x:c r="A89" t="s">
        <x:v>143</x:v>
      </x:c>
      <x:c r="B89" s="18">
        <x:v>-154</x:v>
      </x:c>
      <x:c r="C89" s="18">
        <x:v>10</x:v>
      </x:c>
      <x:c r="D89" s="18">
        <x:v>-127</x:v>
      </x:c>
    </x:row>
    <x:row r="90">
      <x:c r="A90" t="s">
        <x:v>144</x:v>
      </x:c>
      <x:c r="B90" s="18">
        <x:v>31</x:v>
      </x:c>
      <x:c r="C90" s="18">
        <x:v>-90</x:v>
      </x:c>
      <x:c r="D90" s="18">
        <x:v>-31</x:v>
      </x:c>
    </x:row>
    <x:row r="91">
      <x:c r="A91" t="s">
        <x:v>145</x:v>
      </x:c>
      <x:c r="B91" s="18">
        <x:v>-91</x:v>
      </x:c>
      <x:c r="C91" s="18">
        <x:v>-76</x:v>
      </x:c>
      <x:c r="D91" s="18">
        <x:v>-45</x:v>
      </x:c>
    </x:row>
    <x:row r="92">
      <x:c r="A92" s="4" t="s">
        <x:v>146</x:v>
      </x:c>
      <x:c r="B92" s="19">
        <x:v>7281</x:v>
      </x:c>
      <x:c r="C92" s="19">
        <x:v>6991</x:v>
      </x:c>
      <x:c r="D92" s="19">
        <x:v>7861</x:v>
      </x:c>
    </x:row>
    <x:row r="93">
      <x:c r="A93" t="s">
        <x:v>147</x:v>
      </x:c>
      <x:c r="B93" s="18">
        <x:v>-342</x:v>
      </x:c>
      <x:c r="C93" s="18">
        <x:v>-183</x:v>
      </x:c>
      <x:c r="D93" s="18">
        <x:v>-32</x:v>
      </x:c>
    </x:row>
    <x:row r="94">
      <x:c r="A94" s="4" t="s">
        <x:v>148</x:v>
      </x:c>
      <x:c r="B94" s="19">
        <x:v>6939</x:v>
      </x:c>
      <x:c r="C94" s="19">
        <x:v>6808</x:v>
      </x:c>
      <x:c r="D94" s="19">
        <x:v>7829</x:v>
      </x:c>
    </x:row>
    <x:row r="95">
      <x:c r="B95" s="18"/>
      <x:c r="C95" s="18"/>
      <x:c r="D95" s="18"/>
    </x:row>
    <x:row r="96">
      <x:c r="A96" s="4" t="s">
        <x:v>149</x:v>
      </x:c>
      <x:c r="B96" s="18"/>
      <x:c r="C96" s="18"/>
      <x:c r="D96" s="18"/>
    </x:row>
    <x:row r="97">
      <x:c r="A97" t="s">
        <x:v>150</x:v>
      </x:c>
      <x:c r="B97" s="18">
        <x:v>-549</x:v>
      </x:c>
      <x:c r="C97" s="18">
        <x:v>-526</x:v>
      </x:c>
      <x:c r="D97" s="18">
        <x:v>-586</x:v>
      </x:c>
    </x:row>
    <x:row r="98">
      <x:c r="A98" t="s">
        <x:v>151</x:v>
      </x:c>
      <x:c r="B98" s="18">
        <x:v>-6904</x:v>
      </x:c>
      <x:c r="C98" s="18">
        <x:v>-8780</x:v>
      </x:c>
      <x:c r="D98" s="18">
        <x:v>-9989</x:v>
      </x:c>
    </x:row>
    <x:row r="99">
      <x:c r="A99" t="s">
        <x:v>152</x:v>
      </x:c>
      <x:c r="B99" s="18">
        <x:v>52</x:v>
      </x:c>
      <x:c r="C99" s="18">
        <x:v>26</x:v>
      </x:c>
      <x:c r="D99" s="18">
        <x:v>68</x:v>
      </x:c>
    </x:row>
    <x:row r="100">
      <x:c r="A100" t="s">
        <x:v>92</x:v>
      </x:c>
      <x:c r="B100" s="18">
        <x:v>-332</x:v>
      </x:c>
      <x:c r="C100" s="18">
        <x:v>-396</x:v>
      </x:c>
      <x:c r="D100" s="18">
        <x:v>-94</x:v>
      </x:c>
    </x:row>
    <x:row r="101">
      <x:c r="A101" t="s">
        <x:v>153</x:v>
      </x:c>
      <x:c r="B101" s="18">
        <x:v>176</x:v>
      </x:c>
      <x:c r="C101" s="18">
        <x:v>126</x:v>
      </x:c>
      <x:c r="D101" s="18">
        <x:v>105</x:v>
      </x:c>
    </x:row>
    <x:row r="102">
      <x:c r="A102" t="s">
        <x:v>154</x:v>
      </x:c>
      <x:c r="B102" s="18">
        <x:v>0</x:v>
      </x:c>
      <x:c r="C102" s="18">
        <x:v>577</x:v>
      </x:c>
      <x:c r="D102" s="18">
        <x:v>0</x:v>
      </x:c>
    </x:row>
    <x:row r="103">
      <x:c r="A103" t="s">
        <x:v>155</x:v>
      </x:c>
      <x:c r="B103" s="18">
        <x:v>681</x:v>
      </x:c>
      <x:c r="C103" s="18">
        <x:v>686</x:v>
      </x:c>
      <x:c r="D103" s="18">
        <x:v>0</x:v>
      </x:c>
    </x:row>
    <x:row r="104">
      <x:c r="A104" t="s">
        <x:v>156</x:v>
      </x:c>
      <x:c r="B104" s="18">
        <x:v>0</x:v>
      </x:c>
      <x:c r="C104" s="18">
        <x:v>0</x:v>
      </x:c>
      <x:c r="D104" s="18">
        <x:v>1473</x:v>
      </x:c>
    </x:row>
    <x:row r="105">
      <x:c r="A105" t="s">
        <x:v>157</x:v>
      </x:c>
      <x:c r="B105" s="18">
        <x:v>0</x:v>
      </x:c>
      <x:c r="C105" s="18">
        <x:v>0</x:v>
      </x:c>
      <x:c r="D105" s="18">
        <x:v>1336</x:v>
      </x:c>
    </x:row>
    <x:row r="106">
      <x:c r="A106" t="s">
        <x:v>158</x:v>
      </x:c>
      <x:c r="B106" s="40">
        <x:v>102</x:v>
      </x:c>
      <x:c r="C106" s="40">
        <x:v>85</x:v>
      </x:c>
      <x:c r="D106" s="40">
        <x:v>67</x:v>
      </x:c>
    </x:row>
    <x:row r="107">
      <x:c r="A107" t="s">
        <x:v>159</x:v>
      </x:c>
      <x:c r="B107" s="40">
        <x:v>-81</x:v>
      </x:c>
      <x:c r="C107" s="40">
        <x:v>-122</x:v>
      </x:c>
      <x:c r="D107" s="40">
        <x:v>-67</x:v>
      </x:c>
    </x:row>
    <x:row r="108">
      <x:c r="A108" t="s">
        <x:v>160</x:v>
      </x:c>
      <x:c r="B108" s="40">
        <x:v>-19</x:v>
      </x:c>
      <x:c r="C108" s="40">
        <x:v>0</x:v>
      </x:c>
      <x:c r="D108" s="40">
        <x:v>0</x:v>
      </x:c>
    </x:row>
    <x:row r="109">
      <x:c r="A109" t="s">
        <x:v>161</x:v>
      </x:c>
      <x:c r="B109" s="40">
        <x:v>-1141</x:v>
      </x:c>
      <x:c r="C109" s="40">
        <x:v>-2606</x:v>
      </x:c>
      <x:c r="D109" s="40">
        <x:v>3285</x:v>
      </x:c>
    </x:row>
    <x:row r="110">
      <x:c r="A110" t="s">
        <x:v>162</x:v>
      </x:c>
      <x:c r="B110" s="18">
        <x:v>148</x:v>
      </x:c>
      <x:c r="C110" s="18">
        <x:v>332</x:v>
      </x:c>
      <x:c r="D110" s="18">
        <x:v>231</x:v>
      </x:c>
    </x:row>
    <x:row r="111" ht="17">
      <x:c r="A111" t="s">
        <x:v>163</x:v>
      </x:c>
      <x:c r="B111" s="41">
        <x:v>123</x:v>
      </x:c>
      <x:c r="C111" s="41">
        <x:v>11</x:v>
      </x:c>
      <x:c r="D111" s="41">
        <x:v>20</x:v>
      </x:c>
      <x:c r="E111" s="4"/>
    </x:row>
    <x:row r="112" ht="17">
      <x:c r="A112" t="s">
        <x:v>164</x:v>
      </x:c>
      <x:c r="B112" s="41">
        <x:v>0</x:v>
      </x:c>
      <x:c r="C112" s="41">
        <x:v>-6</x:v>
      </x:c>
      <x:c r="D112" s="41">
        <x:v>-6</x:v>
      </x:c>
    </x:row>
    <x:row r="113" ht="17">
      <x:c r="A113" t="s">
        <x:v>145</x:v>
      </x:c>
      <x:c r="B113" s="41">
        <x:v>143</x:v>
      </x:c>
      <x:c r="C113" s="41">
        <x:v>0</x:v>
      </x:c>
      <x:c r="D113" s="41">
        <x:v>0</x:v>
      </x:c>
    </x:row>
    <x:row r="114">
      <x:c r="A114" s="4" t="s">
        <x:v>165</x:v>
      </x:c>
      <x:c r="B114" s="19">
        <x:v>-7601</x:v>
      </x:c>
      <x:c r="C114" s="19">
        <x:v>-10593</x:v>
      </x:c>
      <x:c r="D114" s="19">
        <x:v>-4157</x:v>
      </x:c>
    </x:row>
    <x:row r="115">
      <x:c r="B115" s="20"/>
    </x:row>
    <x:row r="116">
      <x:c r="A116" s="4" t="s">
        <x:v>166</x:v>
      </x:c>
      <x:c r="B116" s="18"/>
      <x:c r="C116" s="18"/>
      <x:c r="D116" s="18"/>
    </x:row>
    <x:row r="117">
      <x:c r="A117" t="s">
        <x:v>167</x:v>
      </x:c>
      <x:c r="B117" s="18">
        <x:v>0</x:v>
      </x:c>
      <x:c r="C117" s="18">
        <x:v>7001</x:v>
      </x:c>
      <x:c r="D117" s="18">
        <x:v>0</x:v>
      </x:c>
    </x:row>
    <x:row r="118">
      <x:c r="A118" t="s">
        <x:v>168</x:v>
      </x:c>
      <x:c r="B118" s="18">
        <x:v>0</x:v>
      </x:c>
      <x:c r="C118" s="18">
        <x:v>-162</x:v>
      </x:c>
      <x:c r="D118" s="18">
        <x:v>0</x:v>
      </x:c>
    </x:row>
    <x:row r="119">
      <x:c r="A119" t="s">
        <x:v>169</x:v>
      </x:c>
      <x:c r="B119" s="18">
        <x:v>5563</x:v>
      </x:c>
      <x:c r="C119" s="18">
        <x:v>3237</x:v>
      </x:c>
      <x:c r="D119" s="18">
        <x:v>4172</x:v>
      </x:c>
    </x:row>
    <x:row r="120">
      <x:c r="A120" t="s">
        <x:v>170</x:v>
      </x:c>
      <x:c r="B120" s="18">
        <x:v>-1701</x:v>
      </x:c>
      <x:c r="C120" s="18">
        <x:v>-2861</x:v>
      </x:c>
      <x:c r="D120" s="18">
        <x:v>-2961</x:v>
      </x:c>
    </x:row>
    <x:row r="121">
      <x:c r="A121" t="s">
        <x:v>171</x:v>
      </x:c>
      <x:c r="B121" s="18">
        <x:v>-118</x:v>
      </x:c>
      <x:c r="C121" s="18">
        <x:v>-130</x:v>
      </x:c>
      <x:c r="D121" s="18">
        <x:v>-145</x:v>
      </x:c>
    </x:row>
    <x:row r="122">
      <x:c r="A122" t="s">
        <x:v>172</x:v>
      </x:c>
      <x:c r="B122" s="18">
        <x:v>20</x:v>
      </x:c>
      <x:c r="C122" s="18">
        <x:v>18</x:v>
      </x:c>
      <x:c r="D122" s="18">
        <x:v>40</x:v>
      </x:c>
    </x:row>
    <x:row r="123">
      <x:c r="A123" t="s">
        <x:v>173</x:v>
      </x:c>
      <x:c r="B123" s="18" t="n">
        <x:f>-4</x:f>
        <x:v>-4</x:v>
      </x:c>
      <x:c r="C123" s="18" t="n">
        <x:f>-7</x:f>
        <x:v>-7</x:v>
      </x:c>
      <x:c r="D123" s="18" t="n">
        <x:f>-1</x:f>
        <x:v>-1</x:v>
      </x:c>
    </x:row>
    <x:row r="124">
      <x:c r="A124" t="s">
        <x:v>163</x:v>
      </x:c>
      <x:c r="B124" s="18">
        <x:v>86</x:v>
      </x:c>
      <x:c r="C124" s="18">
        <x:v>62</x:v>
      </x:c>
      <x:c r="D124" s="18">
        <x:v>93</x:v>
      </x:c>
    </x:row>
    <x:row r="125">
      <x:c r="A125" t="s">
        <x:v>164</x:v>
      </x:c>
      <x:c r="B125" s="18" t="n">
        <x:f>-58</x:f>
        <x:v>-58</x:v>
      </x:c>
      <x:c r="C125" s="18" t="n">
        <x:f>-106</x:f>
        <x:v>-106</x:v>
      </x:c>
      <x:c r="D125" s="18" t="n">
        <x:f>-38</x:f>
        <x:v>-38</x:v>
      </x:c>
    </x:row>
    <x:row r="126">
      <x:c r="A126" t="s">
        <x:v>174</x:v>
      </x:c>
      <x:c r="B126" s="18">
        <x:v>544</x:v>
      </x:c>
      <x:c r="C126" s="18">
        <x:v>925</x:v>
      </x:c>
      <x:c r="D126" s="18">
        <x:v>-2225</x:v>
      </x:c>
    </x:row>
    <x:row r="127">
      <x:c r="A127" t="s">
        <x:v>175</x:v>
      </x:c>
      <x:c r="B127" s="18">
        <x:v>-1627</x:v>
      </x:c>
      <x:c r="C127" s="18">
        <x:v>-1920</x:v>
      </x:c>
      <x:c r="D127" s="18">
        <x:v>-1932</x:v>
      </x:c>
    </x:row>
    <x:row r="128">
      <x:c r="A128" t="s">
        <x:v>176</x:v>
      </x:c>
      <x:c r="B128" s="18">
        <x:v>-1718</x:v>
      </x:c>
      <x:c r="C128" s="18">
        <x:v>-1529</x:v>
      </x:c>
      <x:c r="D128" s="18">
        <x:v>-1623</x:v>
      </x:c>
    </x:row>
    <x:row r="129">
      <x:c r="A129" s="4" t="s">
        <x:v>177</x:v>
      </x:c>
      <x:c r="B129" s="19">
        <x:v>987</x:v>
      </x:c>
      <x:c r="C129" s="19">
        <x:v>4528</x:v>
      </x:c>
      <x:c r="D129" s="19">
        <x:v>-4620</x:v>
      </x:c>
    </x:row>
    <x:row r="130">
      <x:c r="B130" s="18"/>
      <x:c r="C130" s="18"/>
      <x:c r="D130" s="18"/>
    </x:row>
    <x:row r="131">
      <x:c r="A131" t="s">
        <x:v>178</x:v>
      </x:c>
      <x:c r="B131" s="18">
        <x:v>427</x:v>
      </x:c>
      <x:c r="C131" s="18">
        <x:v>765</x:v>
      </x:c>
      <x:c r="D131" s="18">
        <x:v>-948</x:v>
      </x:c>
    </x:row>
    <x:row r="132">
      <x:c r="A132" t="s">
        <x:v>179</x:v>
      </x:c>
      <x:c r="B132" s="18">
        <x:v>-30</x:v>
      </x:c>
      <x:c r="C132" s="18">
        <x:v>-123</x:v>
      </x:c>
      <x:c r="D132" s="18">
        <x:v>153</x:v>
      </x:c>
    </x:row>
    <x:row r="133">
      <x:c r="A133" t="s">
        <x:v>180</x:v>
      </x:c>
      <x:c r="B133" s="18">
        <x:v>-1</x:v>
      </x:c>
      <x:c r="C133" s="18">
        <x:v>-23</x:v>
      </x:c>
      <x:c r="D133" s="18">
        <x:v>-8</x:v>
      </x:c>
    </x:row>
    <x:row r="134">
      <x:c r="A134" t="s">
        <x:v>181</x:v>
      </x:c>
      <x:c r="B134" s="18">
        <x:v>163</x:v>
      </x:c>
      <x:c r="C134" s="18">
        <x:v>559</x:v>
      </x:c>
      <x:c r="D134" s="18">
        <x:v>1178</x:v>
      </x:c>
    </x:row>
    <x:row r="135">
      <x:c r="A135" s="4" t="s">
        <x:v>182</x:v>
      </x:c>
      <x:c r="B135" s="19">
        <x:v>559</x:v>
      </x:c>
      <x:c r="C135" s="19">
        <x:v>1178</x:v>
      </x:c>
      <x:c r="D135" s="19">
        <x:v>375</x:v>
      </x:c>
    </x:row>
    <x:row r="136">
      <x:c r="A136" s="4"/>
    </x:row>
    <x:row r="137">
      <x:c r="A137" t="s">
        <x:v>183</x:v>
      </x:c>
      <x:c r="B137" s="18">
        <x:v>102</x:v>
      </x:c>
      <x:c r="C137" s="18">
        <x:v>22</x:v>
      </x:c>
      <x:c r="D137" s="18">
        <x:v>0</x:v>
      </x:c>
    </x:row>
  </x:sheetData>
  <x:mergeCells>
    <x:mergeCell ref="A1:E1"/>
    <x:mergeCell ref="A6:D6"/>
    <x:mergeCell ref="A23:D23"/>
    <x:mergeCell ref="A80:D8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49.5" customWidth="1"/>
  </x:cols>
  <x:sheetData>
    <x:row r="1">
      <x:c r="A1" s="15" t="s">
        <x:v>184</x:v>
      </x:c>
      <x:c r="B1" s="15"/>
      <x:c r="C1" s="15"/>
      <x:c r="D1" s="15"/>
      <x:c r="E1" s="33"/>
      <x:c r="F1" s="33"/>
    </x:row>
    <x:row r="3">
      <x:c r="A3" s="5" t="s">
        <x:v>185</x:v>
      </x:c>
      <x:c r="B3" s="5" t="s">
        <x:v>66</x:v>
      </x:c>
      <x:c r="C3" s="5" t="s">
        <x:v>67</x:v>
      </x:c>
      <x:c r="D3" s="5" t="s">
        <x:v>68</x:v>
      </x:c>
    </x:row>
    <x:row r="5">
      <x:c r="A5" s="15" t="s">
        <x:v>186</x:v>
      </x:c>
      <x:c r="B5" s="15"/>
      <x:c r="C5" s="15"/>
      <x:c r="D5" s="15"/>
    </x:row>
    <x:row r="6">
      <x:c r="A6" t="s">
        <x:v>69</x:v>
      </x:c>
      <x:c r="B6" s="34" t="n">
        <x:f>'02_RAW_DATA'!B8</x:f>
        <x:v>19850</x:v>
      </x:c>
      <x:c r="C6" s="34" t="n">
        <x:f>'02_RAW_DATA'!C8</x:f>
        <x:v>18378</x:v>
      </x:c>
      <x:c r="D6" s="34" t="n">
        <x:f>'02_RAW_DATA'!D8</x:f>
        <x:v>17687</x:v>
      </x:c>
    </x:row>
    <x:row r="7">
      <x:c r="A7" t="s">
        <x:v>187</x:v>
      </x:c>
      <x:c r="C7" s="36" t="n">
        <x:f>C6/B6-1</x:f>
        <x:v>-0.07415617128463481</x:v>
      </x:c>
      <x:c r="D7" s="36" t="n">
        <x:f>D6/C6-1</x:f>
        <x:v>-0.037599303515072346</x:v>
      </x:c>
      <x:c r="E7" s="31"/>
    </x:row>
    <x:row r="8">
      <x:c r="A8" t="s">
        <x:v>70</x:v>
      </x:c>
      <x:c r="B8" s="34" t="n">
        <x:f>'02_RAW_DATA'!B9</x:f>
        <x:v>-179</x:v>
      </x:c>
      <x:c r="C8" s="34" t="n">
        <x:f>'02_RAW_DATA'!C9</x:f>
        <x:v>-200</x:v>
      </x:c>
      <x:c r="D8" s="34" t="n">
        <x:f>'02_RAW_DATA'!D9</x:f>
        <x:v>-243</x:v>
      </x:c>
    </x:row>
    <x:row r="9">
      <x:c r="A9" t="s">
        <x:v>71</x:v>
      </x:c>
      <x:c r="B9" s="34" t="n">
        <x:f>'02_RAW_DATA'!B10</x:f>
        <x:v>-15208</x:v>
      </x:c>
      <x:c r="C9" s="34" t="n">
        <x:f>'02_RAW_DATA'!C10</x:f>
        <x:v>-13244</x:v>
      </x:c>
      <x:c r="D9" s="34" t="n">
        <x:f>'02_RAW_DATA'!D10</x:f>
        <x:v>-12502</x:v>
      </x:c>
    </x:row>
    <x:row r="10">
      <x:c r="A10" t="s">
        <x:v>72</x:v>
      </x:c>
      <x:c r="B10" s="34" t="n">
        <x:f>'02_RAW_DATA'!B11</x:f>
        <x:v>12</x:v>
      </x:c>
      <x:c r="C10" s="34" t="n">
        <x:f>'02_RAW_DATA'!C11</x:f>
        <x:v>0</x:v>
      </x:c>
      <x:c r="D10" s="34" t="n">
        <x:f>'02_RAW_DATA'!D11</x:f>
        <x:v>489</x:v>
      </x:c>
    </x:row>
    <x:row r="11">
      <x:c r="A11" s="4" t="s">
        <x:v>73</x:v>
      </x:c>
      <x:c r="B11" s="20" t="n">
        <x:f>SUM(B6,B8:B10)</x:f>
        <x:v>4475</x:v>
      </x:c>
      <x:c r="C11" s="20" t="n">
        <x:f t="shared" ref="C11:D11" si="0">SUM(C6,C8:C10)</x:f>
        <x:v>4934</x:v>
      </x:c>
      <x:c r="D11" s="20">
        <x:f t="shared" si="0"/>
        <x:v>5431</x:v>
      </x:c>
    </x:row>
    <x:row r="12">
      <x:c r="A12" t="s">
        <x:v>188</x:v>
      </x:c>
      <x:c r="B12" s="36" t="n">
        <x:f>B11/B6</x:f>
        <x:v>0.22544080604534006</x:v>
      </x:c>
      <x:c r="C12" s="36" t="n">
        <x:f t="shared" ref="C12:D12" si="1">C11/C6</x:f>
        <x:v>0.26847317444770924</x:v>
      </x:c>
      <x:c r="D12" s="36">
        <x:f t="shared" si="1"/>
        <x:v>0.30706168372250808</x:v>
      </x:c>
    </x:row>
    <x:row r="13">
      <x:c r="A13" t="s">
        <x:v>74</x:v>
      </x:c>
      <x:c r="B13" s="34" t="n">
        <x:f>'02_RAW_DATA'!B13</x:f>
        <x:v>248</x:v>
      </x:c>
      <x:c r="C13" s="34" t="n">
        <x:f>'02_RAW_DATA'!C13</x:f>
        <x:v>450</x:v>
      </x:c>
      <x:c r="D13" s="34" t="n">
        <x:f>'02_RAW_DATA'!D13</x:f>
        <x:v>380</x:v>
      </x:c>
    </x:row>
    <x:row r="14">
      <x:c r="A14" t="s">
        <x:v>75</x:v>
      </x:c>
      <x:c r="B14" s="34" t="n">
        <x:f>'02_RAW_DATA'!B14</x:f>
        <x:v>-1712</x:v>
      </x:c>
      <x:c r="C14" s="34" t="n">
        <x:f>'02_RAW_DATA'!C14</x:f>
        <x:v>-1807</x:v>
      </x:c>
      <x:c r="D14" s="34" t="n">
        <x:f>'02_RAW_DATA'!D14</x:f>
        <x:v>-1705</x:v>
      </x:c>
    </x:row>
    <x:row r="15">
      <x:c r="A15" t="s">
        <x:v>76</x:v>
      </x:c>
      <x:c r="B15" s="34" t="n">
        <x:f>'02_RAW_DATA'!B15</x:f>
        <x:v>37</x:v>
      </x:c>
      <x:c r="C15" s="34" t="n">
        <x:f>'02_RAW_DATA'!C15</x:f>
        <x:v>73</x:v>
      </x:c>
      <x:c r="D15" s="34" t="n">
        <x:f>'02_RAW_DATA'!D15</x:f>
        <x:v>76</x:v>
      </x:c>
    </x:row>
    <x:row r="16">
      <x:c r="A16" s="4" t="s">
        <x:v>77</x:v>
      </x:c>
      <x:c r="B16" s="20" t="n">
        <x:f>SUM(B11, B13:B15)</x:f>
        <x:v>3048</x:v>
      </x:c>
      <x:c r="C16" s="20" t="n">
        <x:f t="shared" ref="C16:D16" si="2">SUM(C11, C13:C15)</x:f>
        <x:v>3650</x:v>
      </x:c>
      <x:c r="D16" s="20">
        <x:f t="shared" si="2"/>
        <x:v>4182</x:v>
      </x:c>
    </x:row>
    <x:row r="17">
      <x:c r="A17" t="s">
        <x:v>189</x:v>
      </x:c>
      <x:c r="B17" s="36" t="n">
        <x:f>B16/B6</x:f>
        <x:v>0.15355163727959698</x:v>
      </x:c>
      <x:c r="C17" s="36" t="n">
        <x:f t="shared" ref="C17:D17" si="3">C16/C6</x:f>
        <x:v>0.19860703014473827</x:v>
      </x:c>
      <x:c r="D17" s="36">
        <x:f t="shared" si="3"/>
        <x:v>0.2364448464974275</x:v>
      </x:c>
    </x:row>
    <x:row r="18">
      <x:c r="A18" t="s">
        <x:v>78</x:v>
      </x:c>
      <x:c r="B18" s="34" t="n">
        <x:f>'02_RAW_DATA'!B17</x:f>
        <x:v>-831</x:v>
      </x:c>
      <x:c r="C18" s="34" t="n">
        <x:f>'02_RAW_DATA'!C17</x:f>
        <x:v>-821</x:v>
      </x:c>
      <x:c r="D18" s="34" t="n">
        <x:f>'02_RAW_DATA'!D17</x:f>
        <x:v>-939</x:v>
      </x:c>
    </x:row>
    <x:row r="19">
      <x:c r="A19" t="s">
        <x:v>190</x:v>
      </x:c>
      <x:c r="B19" s="36" t="n">
        <x:f>-B18/B16</x:f>
        <x:v>0.27263779527559057</x:v>
      </x:c>
      <x:c r="C19" s="36" t="n">
        <x:f t="shared" ref="C19:D19" si="4">-C18/C16</x:f>
        <x:v>0.22493150684931507</x:v>
      </x:c>
      <x:c r="D19" s="36">
        <x:f t="shared" si="4"/>
        <x:v>0.22453371592539456</x:v>
      </x:c>
    </x:row>
    <x:row r="20">
      <x:c r="A20" s="4" t="s">
        <x:v>79</x:v>
      </x:c>
      <x:c r="B20" s="20" t="n">
        <x:f>SUM(B16,B18)</x:f>
        <x:v>2217</x:v>
      </x:c>
      <x:c r="C20" s="20" t="n">
        <x:f t="shared" ref="C20:D20" si="5">SUM(C16,C18)</x:f>
        <x:v>2829</x:v>
      </x:c>
      <x:c r="D20" s="20">
        <x:f t="shared" si="5"/>
        <x:v>3243</x:v>
      </x:c>
    </x:row>
    <x:row r="21">
      <x:c r="A21" t="s">
        <x:v>80</x:v>
      </x:c>
      <x:c r="B21" s="34" t="n">
        <x:f>'02_RAW_DATA'!B19</x:f>
        <x:v>74</x:v>
      </x:c>
      <x:c r="C21" s="34" t="n">
        <x:f>'02_RAW_DATA'!C19</x:f>
        <x:v>76</x:v>
      </x:c>
      <x:c r="D21" s="34" t="n">
        <x:f>'02_RAW_DATA'!D19</x:f>
        <x:v>0</x:v>
      </x:c>
    </x:row>
    <x:row r="22">
      <x:c r="A22" s="4" t="s">
        <x:v>81</x:v>
      </x:c>
      <x:c r="B22" s="20" t="n">
        <x:f>SUM(B20:B21)</x:f>
        <x:v>2291</x:v>
      </x:c>
      <x:c r="C22" s="20" t="n">
        <x:f t="shared" ref="C22:D22" si="6">SUM(C20:C21)</x:f>
        <x:v>2905</x:v>
      </x:c>
      <x:c r="D22" s="20">
        <x:f t="shared" si="6"/>
        <x:v>3243</x:v>
      </x:c>
    </x:row>
    <x:row r="23">
      <x:c r="A23" t="s">
        <x:v>191</x:v>
      </x:c>
      <x:c r="B23" s="36" t="n">
        <x:f>B22/B6</x:f>
        <x:v>0.11541561712846347</x:v>
      </x:c>
      <x:c r="C23" s="36" t="n">
        <x:f t="shared" ref="C23:D23" si="7">C22/C6</x:f>
        <x:v>0.1580694308412232</x:v>
      </x:c>
      <x:c r="D23" s="36">
        <x:f t="shared" si="7"/>
        <x:v>0.18335500650195058</x:v>
      </x:c>
    </x:row>
    <x:row r="26">
      <x:c r="A26" s="15" t="s">
        <x:v>192</x:v>
      </x:c>
      <x:c r="B26" s="15"/>
      <x:c r="C26" s="15"/>
      <x:c r="D26" s="15"/>
    </x:row>
    <x:row r="27">
      <x:c r="A27" s="5" t="s">
        <x:v>84</x:v>
      </x:c>
    </x:row>
    <x:row r="28">
      <x:c r="A28" s="4" t="s">
        <x:v>85</x:v>
      </x:c>
      <x:c r="B28" s="4"/>
    </x:row>
    <x:row r="29">
      <x:c r="A29" t="s">
        <x:v>86</x:v>
      </x:c>
      <x:c r="B29" s="71" t="n">
        <x:f>'02_RAW_DATA'!B27</x:f>
        <x:v>9729</x:v>
      </x:c>
      <x:c r="C29" s="71" t="n">
        <x:f>'02_RAW_DATA'!C27</x:f>
        <x:v>9532</x:v>
      </x:c>
      <x:c r="D29" s="71" t="n">
        <x:f>'02_RAW_DATA'!D27</x:f>
        <x:v>9417</x:v>
      </x:c>
    </x:row>
    <x:row r="30">
      <x:c r="A30" t="s">
        <x:v>87</x:v>
      </x:c>
      <x:c r="B30" s="71" t="n">
        <x:f>'02_RAW_DATA'!B28</x:f>
        <x:v>3431</x:v>
      </x:c>
      <x:c r="C30" s="71" t="n">
        <x:f>'02_RAW_DATA'!C28</x:f>
        <x:v>3564</x:v>
      </x:c>
      <x:c r="D30" s="71" t="n">
        <x:f>'02_RAW_DATA'!D28</x:f>
        <x:v>3879</x:v>
      </x:c>
    </x:row>
    <x:row r="31">
      <x:c r="A31" t="s">
        <x:v>88</x:v>
      </x:c>
      <x:c r="B31" s="71" t="n">
        <x:f>'02_RAW_DATA'!B29</x:f>
        <x:v>68907</x:v>
      </x:c>
      <x:c r="C31" s="71" t="n">
        <x:f>'02_RAW_DATA'!C29</x:f>
        <x:v>74091</x:v>
      </x:c>
      <x:c r="D31" s="71" t="n">
        <x:f>'02_RAW_DATA'!D29</x:f>
        <x:v>81520</x:v>
      </x:c>
    </x:row>
    <x:row r="32">
      <x:c r="A32" t="s">
        <x:v>89</x:v>
      </x:c>
      <x:c r="B32" s="71" t="n">
        <x:f>'02_RAW_DATA'!B30</x:f>
        <x:v>848</x:v>
      </x:c>
      <x:c r="C32" s="71" t="n">
        <x:f>'02_RAW_DATA'!C30</x:f>
        <x:v>959</x:v>
      </x:c>
      <x:c r="D32" s="71" t="n">
        <x:f>'02_RAW_DATA'!D30</x:f>
        <x:v>1384</x:v>
      </x:c>
    </x:row>
    <x:row r="33">
      <x:c r="A33" t="s">
        <x:v>90</x:v>
      </x:c>
      <x:c r="B33" s="71" t="n">
        <x:f>'02_RAW_DATA'!B31</x:f>
        <x:v>2407</x:v>
      </x:c>
      <x:c r="C33" s="71" t="n">
        <x:f>'02_RAW_DATA'!C31</x:f>
        <x:v>2489</x:v>
      </x:c>
      <x:c r="D33" s="71" t="n">
        <x:f>'02_RAW_DATA'!D31</x:f>
        <x:v>2507</x:v>
      </x:c>
    </x:row>
    <x:row r="34">
      <x:c r="A34" t="s">
        <x:v>91</x:v>
      </x:c>
      <x:c r="B34" s="71" t="n">
        <x:f>'02_RAW_DATA'!B32</x:f>
        <x:v>880</x:v>
      </x:c>
      <x:c r="C34" s="71" t="n">
        <x:f>'02_RAW_DATA'!C32</x:f>
        <x:v>798</x:v>
      </x:c>
      <x:c r="D34" s="71" t="n">
        <x:f>'02_RAW_DATA'!D32</x:f>
        <x:v>842</x:v>
      </x:c>
    </x:row>
    <x:row r="35">
      <x:c r="A35" t="s">
        <x:v>92</x:v>
      </x:c>
      <x:c r="B35" s="71" t="n">
        <x:f>'02_RAW_DATA'!B33</x:f>
        <x:v>1420</x:v>
      </x:c>
      <x:c r="C35" s="71" t="n">
        <x:f>'02_RAW_DATA'!C33</x:f>
        <x:v>608</x:v>
      </x:c>
      <x:c r="D35" s="71" t="n">
        <x:f>'02_RAW_DATA'!D33</x:f>
        <x:v>624</x:v>
      </x:c>
    </x:row>
    <x:row r="36">
      <x:c r="A36" t="s">
        <x:v>93</x:v>
      </x:c>
      <x:c r="B36" s="71" t="n">
        <x:f>'02_RAW_DATA'!B34</x:f>
        <x:v>324</x:v>
      </x:c>
      <x:c r="C36" s="71" t="n">
        <x:f>'02_RAW_DATA'!C34</x:f>
        <x:v>369</x:v>
      </x:c>
      <x:c r="D36" s="71" t="n">
        <x:f>'02_RAW_DATA'!D34</x:f>
        <x:v>623</x:v>
      </x:c>
    </x:row>
    <x:row r="37">
      <x:c r="A37" s="4" t="s">
        <x:v>94</x:v>
      </x:c>
      <x:c r="B37" s="66" t="n">
        <x:f>SUM(B29:B36)</x:f>
        <x:v>87946</x:v>
      </x:c>
      <x:c r="C37" s="66" t="n">
        <x:f t="shared" ref="C37:D37" si="8">SUM(C29:C36)</x:f>
        <x:v>92410</x:v>
      </x:c>
      <x:c r="D37" s="66">
        <x:f t="shared" si="8"/>
        <x:v>100796</x:v>
      </x:c>
    </x:row>
    <x:row r="38">
      <x:c r="A38" s="5" t="s">
        <x:v>95</x:v>
      </x:c>
      <x:c r="B38" s="66"/>
      <x:c r="C38" s="66"/>
      <x:c r="D38" s="66"/>
    </x:row>
    <x:row r="39">
      <x:c r="A39" t="s">
        <x:v>96</x:v>
      </x:c>
      <x:c r="B39" s="72" t="n">
        <x:f>'02_RAW_DATA'!B37</x:f>
        <x:v>828</x:v>
      </x:c>
      <x:c r="C39" s="72" t="n">
        <x:f>'02_RAW_DATA'!C37</x:f>
        <x:v>557</x:v>
      </x:c>
      <x:c r="D39" s="72" t="n">
        <x:f>'02_RAW_DATA'!D37</x:f>
        <x:v>559</x:v>
      </x:c>
    </x:row>
    <x:row r="40">
      <x:c r="A40" t="s">
        <x:v>97</x:v>
      </x:c>
      <x:c r="B40" s="72" t="n">
        <x:f>'02_RAW_DATA'!B38</x:f>
        <x:v>3415</x:v>
      </x:c>
      <x:c r="C40" s="72" t="n">
        <x:f>'02_RAW_DATA'!C38</x:f>
        <x:v>4092</x:v>
      </x:c>
      <x:c r="D40" s="72" t="n">
        <x:f>'02_RAW_DATA'!D38</x:f>
        <x:v>3867</x:v>
      </x:c>
    </x:row>
    <x:row r="41">
      <x:c r="A41" t="s">
        <x:v>98</x:v>
      </x:c>
      <x:c r="B41" s="72" t="n">
        <x:f>'02_RAW_DATA'!B39</x:f>
        <x:v>11</x:v>
      </x:c>
      <x:c r="C41" s="72" t="n">
        <x:f>'02_RAW_DATA'!C39</x:f>
        <x:v>11</x:v>
      </x:c>
      <x:c r="D41" s="72" t="n">
        <x:f>'02_RAW_DATA'!D39</x:f>
        <x:v>16</x:v>
      </x:c>
    </x:row>
    <x:row r="42">
      <x:c r="A42" t="s">
        <x:v>99</x:v>
      </x:c>
      <x:c r="B42" s="72" t="n">
        <x:f>'02_RAW_DATA'!B40</x:f>
        <x:v>3699</x:v>
      </x:c>
      <x:c r="C42" s="72" t="n">
        <x:f>'02_RAW_DATA'!C40</x:f>
        <x:v>5753</x:v>
      </x:c>
      <x:c r="D42" s="72" t="n">
        <x:f>'02_RAW_DATA'!D40</x:f>
        <x:v>2453</x:v>
      </x:c>
    </x:row>
    <x:row r="43">
      <x:c r="A43" t="s">
        <x:v>100</x:v>
      </x:c>
      <x:c r="B43" s="72" t="n">
        <x:f>'02_RAW_DATA'!B41</x:f>
        <x:v>44</x:v>
      </x:c>
      <x:c r="C43" s="72" t="n">
        <x:f>'02_RAW_DATA'!C41</x:f>
        <x:v>113</x:v>
      </x:c>
      <x:c r="D43" s="72" t="n">
        <x:f>'02_RAW_DATA'!D41</x:f>
        <x:v>215</x:v>
      </x:c>
    </x:row>
    <x:row r="44">
      <x:c r="A44" t="s">
        <x:v>101</x:v>
      </x:c>
      <x:c r="B44" s="72" t="n">
        <x:f>'02_RAW_DATA'!B42</x:f>
        <x:v>559</x:v>
      </x:c>
      <x:c r="C44" s="72" t="n">
        <x:f>'02_RAW_DATA'!C42</x:f>
        <x:v>1178</x:v>
      </x:c>
      <x:c r="D44" s="72" t="n">
        <x:f>'02_RAW_DATA'!D42</x:f>
        <x:v>375</x:v>
      </x:c>
    </x:row>
    <x:row r="45">
      <x:c r="A45" t="s">
        <x:v>102</x:v>
      </x:c>
      <x:c r="B45" s="72" t="n">
        <x:f>'02_RAW_DATA'!B43</x:f>
        <x:v>1823</x:v>
      </x:c>
      <x:c r="C45" s="72" t="n">
        <x:f>'02_RAW_DATA'!C43</x:f>
        <x:v>2628</x:v>
      </x:c>
      <x:c r="D45" s="72" t="n">
        <x:f>'02_RAW_DATA'!D43</x:f>
        <x:v>0</x:v>
      </x:c>
    </x:row>
    <x:row r="46">
      <x:c r="A46" s="4" t="s">
        <x:v>103</x:v>
      </x:c>
      <x:c r="B46" s="66" t="n">
        <x:f>SUM(B39:B45)</x:f>
        <x:v>10379</x:v>
      </x:c>
      <x:c r="C46" s="66" t="n">
        <x:f t="shared" ref="C46:D46" si="9">SUM(C39:C45)</x:f>
        <x:v>14332</x:v>
      </x:c>
      <x:c r="D46" s="66">
        <x:f t="shared" si="9"/>
        <x:v>7485</x:v>
      </x:c>
    </x:row>
    <x:row r="47">
      <x:c r="A47" s="4" t="s">
        <x:v>104</x:v>
      </x:c>
      <x:c r="B47" s="73" t="n">
        <x:f>B37+B46</x:f>
        <x:v>98325</x:v>
      </x:c>
      <x:c r="C47" s="73" t="n">
        <x:f t="shared" ref="C47:D47" si="10">C37+C46</x:f>
        <x:v>106742</x:v>
      </x:c>
      <x:c r="D47" s="73">
        <x:f t="shared" si="10"/>
        <x:v>108281</x:v>
      </x:c>
    </x:row>
    <x:row r="48">
      <x:c r="B48" s="66"/>
      <x:c r="C48" s="66"/>
      <x:c r="D48" s="66"/>
    </x:row>
    <x:row r="49">
      <x:c r="A49" t="s">
        <x:v>105</x:v>
      </x:c>
      <x:c r="B49" s="66"/>
      <x:c r="C49" s="66"/>
      <x:c r="D49" s="66"/>
    </x:row>
    <x:row r="50">
      <x:c r="A50" s="5" t="s">
        <x:v>106</x:v>
      </x:c>
      <x:c r="B50" s="66"/>
      <x:c r="C50" s="66"/>
      <x:c r="D50" s="66"/>
    </x:row>
    <x:row r="51">
      <x:c r="A51" t="s">
        <x:v>107</x:v>
      </x:c>
      <x:c r="B51" s="71" t="n">
        <x:f>'02_RAW_DATA'!B49</x:f>
        <x:v>-4859</x:v>
      </x:c>
      <x:c r="C51" s="71" t="n">
        <x:f>'02_RAW_DATA'!C49</x:f>
        <x:v>-4662</x:v>
      </x:c>
      <x:c r="D51" s="71" t="n">
        <x:f>'02_RAW_DATA'!D49</x:f>
        <x:v>-3900</x:v>
      </x:c>
    </x:row>
    <x:row r="52">
      <x:c r="A52" t="s">
        <x:v>108</x:v>
      </x:c>
      <x:c r="B52" s="71" t="n">
        <x:f>'02_RAW_DATA'!B50</x:f>
        <x:v>-335</x:v>
      </x:c>
      <x:c r="C52" s="71" t="n">
        <x:f>'02_RAW_DATA'!C50</x:f>
        <x:v>-381</x:v>
      </x:c>
      <x:c r="D52" s="71" t="n">
        <x:f>'02_RAW_DATA'!D50</x:f>
        <x:v>-268</x:v>
      </x:c>
    </x:row>
    <x:row r="53">
      <x:c r="A53" t="s">
        <x:v>109</x:v>
      </x:c>
      <x:c r="B53" s="71" t="n">
        <x:f>'02_RAW_DATA'!B51</x:f>
        <x:v>-4076</x:v>
      </x:c>
      <x:c r="C53" s="71" t="n">
        <x:f>'02_RAW_DATA'!C51</x:f>
        <x:v>-4472</x:v>
      </x:c>
      <x:c r="D53" s="71" t="n">
        <x:f>'02_RAW_DATA'!D51</x:f>
        <x:v>-5049</x:v>
      </x:c>
    </x:row>
    <x:row r="54">
      <x:c r="A54" t="s">
        <x:v>110</x:v>
      </x:c>
      <x:c r="B54" s="71" t="n">
        <x:f>'02_RAW_DATA'!B52</x:f>
        <x:v>-127</x:v>
      </x:c>
      <x:c r="C54" s="71" t="n">
        <x:f>'02_RAW_DATA'!C52</x:f>
        <x:v>-96</x:v>
      </x:c>
      <x:c r="D54" s="71" t="n">
        <x:f>'02_RAW_DATA'!D52</x:f>
        <x:v>-110</x:v>
      </x:c>
    </x:row>
    <x:row r="55">
      <x:c r="A55" t="s">
        <x:v>111</x:v>
      </x:c>
      <x:c r="B55" s="71" t="n">
        <x:f>'02_RAW_DATA'!B53</x:f>
        <x:v>-220</x:v>
      </x:c>
      <x:c r="C55" s="71" t="n">
        <x:f>'02_RAW_DATA'!C53</x:f>
        <x:v>-219</x:v>
      </x:c>
      <x:c r="D55" s="71" t="n">
        <x:f>'02_RAW_DATA'!D53</x:f>
        <x:v>-45</x:v>
      </x:c>
    </x:row>
    <x:row r="56">
      <x:c r="A56" t="s">
        <x:v>112</x:v>
      </x:c>
      <x:c r="B56" s="71" t="n">
        <x:f>'02_RAW_DATA'!B54</x:f>
        <x:v>-298</x:v>
      </x:c>
      <x:c r="C56" s="71" t="n">
        <x:f>'02_RAW_DATA'!C54</x:f>
        <x:v>-357</x:v>
      </x:c>
      <x:c r="D56" s="71" t="n">
        <x:f>'02_RAW_DATA'!D54</x:f>
        <x:v>-425</x:v>
      </x:c>
    </x:row>
    <x:row r="57">
      <x:c r="A57" t="s">
        <x:v>113</x:v>
      </x:c>
      <x:c r="B57" s="71" t="n">
        <x:f>'02_RAW_DATA'!B55</x:f>
        <x:v>-1474</x:v>
      </x:c>
      <x:c r="C57" s="71" t="n">
        <x:f>'02_RAW_DATA'!C55</x:f>
        <x:v>-434</x:v>
      </x:c>
      <x:c r="D57" s="71" t="n">
        <x:f>'02_RAW_DATA'!D55</x:f>
        <x:v>0</x:v>
      </x:c>
    </x:row>
    <x:row r="58">
      <x:c r="A58" s="4" t="s">
        <x:v>114</x:v>
      </x:c>
      <x:c r="B58" s="66" t="n">
        <x:f>SUM(B51:B57)</x:f>
        <x:v>-11389</x:v>
      </x:c>
      <x:c r="C58" s="66" t="n">
        <x:f t="shared" ref="C58:D58" si="11">SUM(C51:C57)</x:f>
        <x:v>-10621</x:v>
      </x:c>
      <x:c r="D58" s="66">
        <x:f t="shared" si="11"/>
        <x:v>-9797</x:v>
      </x:c>
    </x:row>
    <x:row r="59">
      <x:c r="A59" s="5" t="s">
        <x:v>115</x:v>
      </x:c>
      <x:c r="B59" s="66"/>
      <x:c r="C59" s="66"/>
      <x:c r="D59" s="66"/>
    </x:row>
    <x:row r="60">
      <x:c r="A60" t="s">
        <x:v>116</x:v>
      </x:c>
      <x:c r="B60" s="71" t="n">
        <x:f>'02_RAW_DATA'!B58</x:f>
        <x:v>-42213</x:v>
      </x:c>
      <x:c r="C60" s="71" t="n">
        <x:f>'02_RAW_DATA'!C58</x:f>
        <x:v>-42877</x:v>
      </x:c>
      <x:c r="D60" s="71" t="n">
        <x:f>'02_RAW_DATA'!D58</x:f>
        <x:v>-42855</x:v>
      </x:c>
    </x:row>
    <x:row r="61">
      <x:c r="A61" t="s">
        <x:v>117</x:v>
      </x:c>
      <x:c r="B61" s="71" t="n">
        <x:f>'02_RAW_DATA'!B59</x:f>
        <x:v>-909</x:v>
      </x:c>
      <x:c r="C61" s="71" t="n">
        <x:f>'02_RAW_DATA'!C59</x:f>
        <x:v>-821</x:v>
      </x:c>
      <x:c r="D61" s="71" t="n">
        <x:f>'02_RAW_DATA'!D59</x:f>
        <x:v>-750</x:v>
      </x:c>
    </x:row>
    <x:row r="62">
      <x:c r="A62" t="s">
        <x:v>118</x:v>
      </x:c>
      <x:c r="B62" s="71" t="n">
        <x:f>'02_RAW_DATA'!B60</x:f>
        <x:v>-880</x:v>
      </x:c>
      <x:c r="C62" s="71" t="n">
        <x:f>'02_RAW_DATA'!C60</x:f>
        <x:v>-876</x:v>
      </x:c>
      <x:c r="D62" s="71" t="n">
        <x:f>'02_RAW_DATA'!D60</x:f>
        <x:v>-1114</x:v>
      </x:c>
    </x:row>
    <x:row r="63">
      <x:c r="A63" t="s">
        <x:v>119</x:v>
      </x:c>
      <x:c r="B63" s="71" t="n">
        <x:f>'02_RAW_DATA'!B61</x:f>
        <x:v>-2119</x:v>
      </x:c>
      <x:c r="C63" s="71" t="n">
        <x:f>'02_RAW_DATA'!C61</x:f>
        <x:v>-2418</x:v>
      </x:c>
      <x:c r="D63" s="71" t="n">
        <x:f>'02_RAW_DATA'!D61</x:f>
        <x:v>-2699</x:v>
      </x:c>
    </x:row>
    <x:row r="64">
      <x:c r="A64" t="s">
        <x:v>120</x:v>
      </x:c>
      <x:c r="B64" s="71" t="n">
        <x:f>'02_RAW_DATA'!B62</x:f>
        <x:v>-7519</x:v>
      </x:c>
      <x:c r="C64" s="71" t="n">
        <x:f>'02_RAW_DATA'!C62</x:f>
        <x:v>-8038</x:v>
      </x:c>
      <x:c r="D64" s="71" t="n">
        <x:f>'02_RAW_DATA'!D62</x:f>
        <x:v>-9040</x:v>
      </x:c>
    </x:row>
    <x:row r="65">
      <x:c r="A65" t="s">
        <x:v>121</x:v>
      </x:c>
      <x:c r="B65" s="71" t="n">
        <x:f>'02_RAW_DATA'!B63</x:f>
        <x:v>-593</x:v>
      </x:c>
      <x:c r="C65" s="71" t="n">
        <x:f>'02_RAW_DATA'!C63</x:f>
        <x:v>-573</x:v>
      </x:c>
      <x:c r="D65" s="71" t="n">
        <x:f>'02_RAW_DATA'!D63</x:f>
        <x:v>-360</x:v>
      </x:c>
    </x:row>
    <x:row r="66">
      <x:c r="A66" t="s">
        <x:v>122</x:v>
      </x:c>
      <x:c r="B66" s="71" t="n">
        <x:f>'02_RAW_DATA'!B64</x:f>
        <x:v>-2811</x:v>
      </x:c>
      <x:c r="C66" s="71" t="n">
        <x:f>'02_RAW_DATA'!C64</x:f>
        <x:v>-2692</x:v>
      </x:c>
      <x:c r="D66" s="71" t="n">
        <x:f>'02_RAW_DATA'!D64</x:f>
        <x:v>-2336</x:v>
      </x:c>
    </x:row>
    <x:row r="67">
      <x:c r="A67" s="4" t="s">
        <x:v>123</x:v>
      </x:c>
      <x:c r="B67" s="66" t="n">
        <x:f>SUM(B60:B66)</x:f>
        <x:v>-57044</x:v>
      </x:c>
      <x:c r="C67" s="66" t="n">
        <x:f t="shared" ref="C67:D67" si="12">SUM(C60:C66)</x:f>
        <x:v>-58295</x:v>
      </x:c>
      <x:c r="D67" s="66">
        <x:f t="shared" si="12"/>
        <x:v>-59154</x:v>
      </x:c>
    </x:row>
    <x:row r="68">
      <x:c r="A68" s="4" t="s">
        <x:v>124</x:v>
      </x:c>
      <x:c r="B68" s="73" t="n">
        <x:f>SUM(B58,B67)</x:f>
        <x:v>-68433</x:v>
      </x:c>
      <x:c r="C68" s="73" t="n">
        <x:f t="shared" ref="C68:D68" si="13">SUM(C58,C67)</x:f>
        <x:v>-68916</x:v>
      </x:c>
      <x:c r="D68" s="73">
        <x:f t="shared" si="13"/>
        <x:v>-68951</x:v>
      </x:c>
    </x:row>
    <x:row r="69">
      <x:c r="A69" s="4"/>
      <x:c r="B69" s="66"/>
      <x:c r="C69" s="66"/>
      <x:c r="D69" s="66"/>
    </x:row>
    <x:row r="70">
      <x:c r="A70" s="4" t="s">
        <x:v>125</x:v>
      </x:c>
      <x:c r="B70" s="73" t="n">
        <x:f>B47+B68</x:f>
        <x:v>29892</x:v>
      </x:c>
      <x:c r="C70" s="73" t="n">
        <x:f t="shared" ref="C70:D70" si="14">C47+C68</x:f>
        <x:v>37826</x:v>
      </x:c>
      <x:c r="D70" s="73">
        <x:f t="shared" si="14"/>
        <x:v>39330</x:v>
      </x:c>
    </x:row>
    <x:row r="71">
      <x:c r="B71" s="66"/>
      <x:c r="C71" s="66"/>
      <x:c r="D71" s="66"/>
    </x:row>
    <x:row r="72">
      <x:c r="A72" s="4" t="s">
        <x:v>126</x:v>
      </x:c>
      <x:c r="B72" s="66"/>
      <x:c r="C72" s="66"/>
      <x:c r="D72" s="66"/>
    </x:row>
    <x:row r="73">
      <x:c r="A73" t="s">
        <x:v>127</x:v>
      </x:c>
      <x:c r="B73" s="72" t="n">
        <x:f>'02_RAW_DATA'!B71</x:f>
        <x:v>493</x:v>
      </x:c>
      <x:c r="C73" s="72" t="n">
        <x:f>'02_RAW_DATA'!C71</x:f>
        <x:v>638</x:v>
      </x:c>
      <x:c r="D73" s="72" t="n">
        <x:f>'02_RAW_DATA'!D71</x:f>
        <x:v>647</x:v>
      </x:c>
    </x:row>
    <x:row r="74">
      <x:c r="A74" t="s">
        <x:v>128</x:v>
      </x:c>
      <x:c r="B74" s="72" t="n">
        <x:f>'02_RAW_DATA'!B72</x:f>
        <x:v>1298</x:v>
      </x:c>
      <x:c r="C74" s="72" t="n">
        <x:f>'02_RAW_DATA'!C72</x:f>
        <x:v>1292</x:v>
      </x:c>
      <x:c r="D74" s="72" t="n">
        <x:f>'02_RAW_DATA'!D72</x:f>
        <x:v>1285</x:v>
      </x:c>
    </x:row>
    <x:row r="75">
      <x:c r="A75" t="s">
        <x:v>129</x:v>
      </x:c>
      <x:c r="B75" s="72" t="n">
        <x:f>'02_RAW_DATA'!B73</x:f>
        <x:v>32066</x:v>
      </x:c>
      <x:c r="C75" s="72" t="n">
        <x:f>'02_RAW_DATA'!C73</x:f>
        <x:v>40106</x:v>
      </x:c>
      <x:c r="D75" s="72" t="n">
        <x:f>'02_RAW_DATA'!D73</x:f>
        <x:v>41909</x:v>
      </x:c>
    </x:row>
    <x:row r="76">
      <x:c r="A76" t="s">
        <x:v>130</x:v>
      </x:c>
      <x:c r="B76" s="72" t="n">
        <x:f>'02_RAW_DATA'!B74</x:f>
        <x:v>-3990</x:v>
      </x:c>
      <x:c r="C76" s="72" t="n">
        <x:f>'02_RAW_DATA'!C74</x:f>
        <x:v>-4233</x:v>
      </x:c>
      <x:c r="D76" s="72" t="n">
        <x:f>'02_RAW_DATA'!D74</x:f>
        <x:v>-4542</x:v>
      </x:c>
    </x:row>
    <x:row r="77">
      <x:c r="A77" t="s">
        <x:v>193</x:v>
      </x:c>
      <x:c r="B77" s="71" t="n">
        <x:f>'02_RAW_DATA'!B76</x:f>
        <x:v>25</x:v>
      </x:c>
      <x:c r="C77" s="71" t="n">
        <x:f>'02_RAW_DATA'!C76</x:f>
        <x:v>23</x:v>
      </x:c>
      <x:c r="D77" s="71" t="n">
        <x:f>'02_RAW_DATA'!D76</x:f>
        <x:v>31</x:v>
      </x:c>
    </x:row>
    <x:row r="78">
      <x:c r="A78" s="4" t="s">
        <x:v>131</x:v>
      </x:c>
      <x:c r="B78" s="73" t="n">
        <x:f>SUM(B73:B76)</x:f>
        <x:v>29867</x:v>
      </x:c>
      <x:c r="C78" s="73" t="n">
        <x:f>SUM(C73:C76)</x:f>
        <x:v>37803</x:v>
      </x:c>
      <x:c r="D78" s="73" t="n">
        <x:f>SUM(D73:D76)</x:f>
        <x:v>39299</x:v>
      </x:c>
    </x:row>
    <x:row r="79">
      <x:c r="A79" s="4" t="s">
        <x:v>133</x:v>
      </x:c>
      <x:c r="B79" s="73" t="n">
        <x:f>SUM(B78,B77)</x:f>
        <x:v>29892</x:v>
      </x:c>
      <x:c r="C79" s="73" t="n">
        <x:f t="shared" ref="C79:D79" si="15">SUM(C78,C77)</x:f>
        <x:v>37826</x:v>
      </x:c>
      <x:c r="D79" s="73">
        <x:f t="shared" si="15"/>
        <x:v>39330</x:v>
      </x:c>
    </x:row>
    <x:row r="80">
      <x:c r="A80" s="4"/>
      <x:c r="B80" s="66"/>
      <x:c r="C80" s="66"/>
      <x:c r="D80" s="66"/>
    </x:row>
    <x:row r="81">
      <x:c r="A81" s="4" t="s">
        <x:v>194</x:v>
      </x:c>
      <x:c r="B81" s="66" t="n">
        <x:f>B47+B68-B79</x:f>
        <x:v>0</x:v>
      </x:c>
      <x:c r="C81" s="66" t="n">
        <x:f t="shared" ref="C81:D81" si="16">C47+C68-C79</x:f>
        <x:v>0</x:v>
      </x:c>
      <x:c r="D81" s="66">
        <x:f t="shared" si="16"/>
        <x:v>0</x:v>
      </x:c>
    </x:row>
    <x:row r="82">
      <x:c r="B82" s="66"/>
      <x:c r="C82" s="66"/>
      <x:c r="D82" s="66"/>
    </x:row>
    <x:row r="84">
      <x:c r="A84" s="39" t="s">
        <x:v>195</x:v>
      </x:c>
      <x:c r="B84" s="32"/>
      <x:c r="C84" s="32"/>
      <x:c r="D84" s="32"/>
    </x:row>
    <x:row r="85">
      <x:c r="B85" s="5" t="s">
        <x:v>66</x:v>
      </x:c>
      <x:c r="C85" s="5" t="s">
        <x:v>67</x:v>
      </x:c>
      <x:c r="D85" s="5" t="s">
        <x:v>68</x:v>
      </x:c>
    </x:row>
    <x:row r="86">
      <x:c r="A86" s="5" t="s">
        <x:v>136</x:v>
      </x:c>
    </x:row>
    <x:row r="87">
      <x:c r="A87" t="s">
        <x:v>73</x:v>
      </x:c>
      <x:c r="B87" s="20" t="n">
        <x:f>B11</x:f>
        <x:v>4475</x:v>
      </x:c>
      <x:c r="C87" s="20" t="n">
        <x:f>C11</x:f>
        <x:v>4934</x:v>
      </x:c>
      <x:c r="D87" s="20" t="n">
        <x:f>D11</x:f>
        <x:v>5431</x:v>
      </x:c>
    </x:row>
    <x:row r="88">
      <x:c r="A88" t="s">
        <x:v>138</x:v>
      </x:c>
      <x:c r="B88" s="34" t="n">
        <x:f>'02_RAW_DATA'!B84</x:f>
        <x:v>987</x:v>
      </x:c>
      <x:c r="C88" s="34" t="n">
        <x:f>'02_RAW_DATA'!C84</x:f>
        <x:v>-169</x:v>
      </x:c>
      <x:c r="D88" s="34" t="n">
        <x:f>'02_RAW_DATA'!D84</x:f>
        <x:v>-387</x:v>
      </x:c>
    </x:row>
    <x:row r="89">
      <x:c r="A89" t="s">
        <x:v>139</x:v>
      </x:c>
      <x:c r="B89" s="34" t="n">
        <x:f>'02_RAW_DATA'!B85</x:f>
        <x:v>-16</x:v>
      </x:c>
      <x:c r="C89" s="34" t="n">
        <x:f>'02_RAW_DATA'!C85</x:f>
        <x:v>66</x:v>
      </x:c>
      <x:c r="D89" s="34" t="n">
        <x:f>'02_RAW_DATA'!D85</x:f>
        <x:v>-31</x:v>
      </x:c>
    </x:row>
    <x:row r="90">
      <x:c r="A90" t="s">
        <x:v>140</x:v>
      </x:c>
      <x:c r="B90" s="34" t="n">
        <x:f>'02_RAW_DATA'!B86</x:f>
        <x:v>2061</x:v>
      </x:c>
      <x:c r="C90" s="34" t="n">
        <x:f>'02_RAW_DATA'!C86</x:f>
        <x:v>2175</x:v>
      </x:c>
      <x:c r="D90" s="34" t="n">
        <x:f>'02_RAW_DATA'!D86</x:f>
        <x:v>2247</x:v>
      </x:c>
    </x:row>
    <x:row r="91">
      <x:c r="A91" t="s">
        <x:v>141</x:v>
      </x:c>
      <x:c r="B91" s="34" t="n">
        <x:f>'02_RAW_DATA'!B87</x:f>
        <x:v>37</x:v>
      </x:c>
      <x:c r="C91" s="34" t="n">
        <x:f>'02_RAW_DATA'!C87</x:f>
        <x:v>37</x:v>
      </x:c>
      <x:c r="D91" s="34" t="n">
        <x:f>'02_RAW_DATA'!D87</x:f>
        <x:v>45</x:v>
      </x:c>
    </x:row>
    <x:row r="92">
      <x:c r="A92" t="s">
        <x:v>142</x:v>
      </x:c>
      <x:c r="B92" s="34" t="n">
        <x:f>'02_RAW_DATA'!B88</x:f>
        <x:v>-49</x:v>
      </x:c>
      <x:c r="C92" s="34" t="n">
        <x:f>'02_RAW_DATA'!C88</x:f>
        <x:v>104</x:v>
      </x:c>
      <x:c r="D92" s="34" t="n">
        <x:f>'02_RAW_DATA'!D88</x:f>
        <x:v>759</x:v>
      </x:c>
    </x:row>
    <x:row r="93">
      <x:c r="A93" t="s">
        <x:v>143</x:v>
      </x:c>
      <x:c r="B93" s="34" t="n">
        <x:f>'02_RAW_DATA'!B89</x:f>
        <x:v>-154</x:v>
      </x:c>
      <x:c r="C93" s="34" t="n">
        <x:f>'02_RAW_DATA'!C89</x:f>
        <x:v>10</x:v>
      </x:c>
      <x:c r="D93" s="34" t="n">
        <x:f>'02_RAW_DATA'!D89</x:f>
        <x:v>-127</x:v>
      </x:c>
    </x:row>
    <x:row r="94">
      <x:c r="A94" t="s">
        <x:v>144</x:v>
      </x:c>
      <x:c r="B94" s="34" t="n">
        <x:f>'02_RAW_DATA'!B90</x:f>
        <x:v>31</x:v>
      </x:c>
      <x:c r="C94" s="34" t="n">
        <x:f>'02_RAW_DATA'!C90</x:f>
        <x:v>-90</x:v>
      </x:c>
      <x:c r="D94" s="34" t="n">
        <x:f>'02_RAW_DATA'!D90</x:f>
        <x:v>-31</x:v>
      </x:c>
    </x:row>
    <x:row r="95">
      <x:c r="A95" t="s">
        <x:v>145</x:v>
      </x:c>
      <x:c r="B95" s="34" t="n">
        <x:f>'02_RAW_DATA'!B91</x:f>
        <x:v>-91</x:v>
      </x:c>
      <x:c r="C95" s="34" t="n">
        <x:f>'02_RAW_DATA'!C91</x:f>
        <x:v>-76</x:v>
      </x:c>
      <x:c r="D95" s="34" t="n">
        <x:f>'02_RAW_DATA'!D91</x:f>
        <x:v>-45</x:v>
      </x:c>
    </x:row>
    <x:row r="96">
      <x:c r="A96" s="4" t="s">
        <x:v>146</x:v>
      </x:c>
      <x:c r="B96" s="25" t="n">
        <x:f>SUM(B87:B95)</x:f>
        <x:v>7281</x:v>
      </x:c>
      <x:c r="C96" s="25" t="n">
        <x:f t="shared" ref="C96:D96" si="17">SUM(C87:C95)</x:f>
        <x:v>6991</x:v>
      </x:c>
      <x:c r="D96" s="25">
        <x:f t="shared" si="17"/>
        <x:v>7861</x:v>
      </x:c>
    </x:row>
    <x:row r="97">
      <x:c r="A97" t="s">
        <x:v>147</x:v>
      </x:c>
      <x:c r="B97" s="20" t="n">
        <x:f>'02_RAW_DATA'!B93</x:f>
        <x:v>-342</x:v>
      </x:c>
      <x:c r="C97" s="20" t="n">
        <x:f>'02_RAW_DATA'!C93</x:f>
        <x:v>-183</x:v>
      </x:c>
      <x:c r="D97" s="20" t="n">
        <x:f>'02_RAW_DATA'!D93</x:f>
        <x:v>-32</x:v>
      </x:c>
    </x:row>
    <x:row r="98">
      <x:c r="A98" s="4" t="s">
        <x:v>148</x:v>
      </x:c>
      <x:c r="B98" s="25" t="n">
        <x:f>SUM(B96:B97)</x:f>
        <x:v>6939</x:v>
      </x:c>
      <x:c r="C98" s="25" t="n">
        <x:f t="shared" ref="C98:D98" si="18">SUM(C96:C97)</x:f>
        <x:v>6808</x:v>
      </x:c>
      <x:c r="D98" s="25">
        <x:f t="shared" si="18"/>
        <x:v>7829</x:v>
      </x:c>
    </x:row>
    <x:row r="99">
      <x:c r="A99" s="4"/>
    </x:row>
    <x:row r="100">
      <x:c r="A100" s="5" t="s">
        <x:v>149</x:v>
      </x:c>
    </x:row>
    <x:row r="101">
      <x:c r="A101" t="s">
        <x:v>150</x:v>
      </x:c>
      <x:c r="B101" s="34" t="n">
        <x:f>'02_RAW_DATA'!B97</x:f>
        <x:v>-549</x:v>
      </x:c>
      <x:c r="C101" s="34" t="n">
        <x:f>'02_RAW_DATA'!C97</x:f>
        <x:v>-526</x:v>
      </x:c>
      <x:c r="D101" s="34" t="n">
        <x:f>'02_RAW_DATA'!D97</x:f>
        <x:v>-586</x:v>
      </x:c>
    </x:row>
    <x:row r="102">
      <x:c r="A102" t="s">
        <x:v>151</x:v>
      </x:c>
      <x:c r="B102" s="34" t="n">
        <x:f>'02_RAW_DATA'!B98</x:f>
        <x:v>-6904</x:v>
      </x:c>
      <x:c r="C102" s="34" t="n">
        <x:f>'02_RAW_DATA'!C98</x:f>
        <x:v>-8780</x:v>
      </x:c>
      <x:c r="D102" s="34" t="n">
        <x:f>'02_RAW_DATA'!D98</x:f>
        <x:v>-9989</x:v>
      </x:c>
    </x:row>
    <x:row r="103">
      <x:c r="A103" t="s">
        <x:v>152</x:v>
      </x:c>
      <x:c r="B103" s="34" t="n">
        <x:f>'02_RAW_DATA'!B99</x:f>
        <x:v>52</x:v>
      </x:c>
      <x:c r="C103" s="34" t="n">
        <x:f>'02_RAW_DATA'!C99</x:f>
        <x:v>26</x:v>
      </x:c>
      <x:c r="D103" s="34" t="n">
        <x:f>'02_RAW_DATA'!D99</x:f>
        <x:v>68</x:v>
      </x:c>
    </x:row>
    <x:row r="104">
      <x:c r="A104" t="s">
        <x:v>92</x:v>
      </x:c>
      <x:c r="B104" s="34" t="n">
        <x:f>'02_RAW_DATA'!B100</x:f>
        <x:v>-332</x:v>
      </x:c>
      <x:c r="C104" s="34" t="n">
        <x:f>'02_RAW_DATA'!C100</x:f>
        <x:v>-396</x:v>
      </x:c>
      <x:c r="D104" s="34" t="n">
        <x:f>'02_RAW_DATA'!D100</x:f>
        <x:v>-94</x:v>
      </x:c>
    </x:row>
    <x:row r="105">
      <x:c r="A105" t="s">
        <x:v>153</x:v>
      </x:c>
      <x:c r="B105" s="34" t="n">
        <x:f>'02_RAW_DATA'!B101</x:f>
        <x:v>176</x:v>
      </x:c>
      <x:c r="C105" s="34" t="n">
        <x:f>'02_RAW_DATA'!C101</x:f>
        <x:v>126</x:v>
      </x:c>
      <x:c r="D105" s="34" t="n">
        <x:f>'02_RAW_DATA'!D101</x:f>
        <x:v>105</x:v>
      </x:c>
    </x:row>
    <x:row r="106">
      <x:c r="A106" t="s">
        <x:v>154</x:v>
      </x:c>
      <x:c r="B106" s="34" t="n">
        <x:f>'02_RAW_DATA'!B102</x:f>
        <x:v>0</x:v>
      </x:c>
      <x:c r="C106" s="34" t="n">
        <x:f>'02_RAW_DATA'!C102</x:f>
        <x:v>577</x:v>
      </x:c>
      <x:c r="D106" s="34" t="n">
        <x:f>'02_RAW_DATA'!D102</x:f>
        <x:v>0</x:v>
      </x:c>
    </x:row>
    <x:row r="107">
      <x:c r="A107" t="s">
        <x:v>155</x:v>
      </x:c>
      <x:c r="B107" s="34" t="n">
        <x:f>'02_RAW_DATA'!B103</x:f>
        <x:v>681</x:v>
      </x:c>
      <x:c r="C107" s="34" t="n">
        <x:f>'02_RAW_DATA'!C103</x:f>
        <x:v>686</x:v>
      </x:c>
      <x:c r="D107" s="34" t="n">
        <x:f>'02_RAW_DATA'!D103</x:f>
        <x:v>0</x:v>
      </x:c>
    </x:row>
    <x:row r="108">
      <x:c r="A108" t="s">
        <x:v>156</x:v>
      </x:c>
      <x:c r="B108" s="34" t="n">
        <x:f>'02_RAW_DATA'!B104</x:f>
        <x:v>0</x:v>
      </x:c>
      <x:c r="C108" s="34" t="n">
        <x:f>'02_RAW_DATA'!C104</x:f>
        <x:v>0</x:v>
      </x:c>
      <x:c r="D108" s="34" t="n">
        <x:f>'02_RAW_DATA'!D104</x:f>
        <x:v>1473</x:v>
      </x:c>
    </x:row>
    <x:row r="109">
      <x:c r="A109" t="s">
        <x:v>157</x:v>
      </x:c>
      <x:c r="B109" s="34" t="n">
        <x:f>'02_RAW_DATA'!B105</x:f>
        <x:v>0</x:v>
      </x:c>
      <x:c r="C109" s="34" t="n">
        <x:f>'02_RAW_DATA'!C105</x:f>
        <x:v>0</x:v>
      </x:c>
      <x:c r="D109" s="34" t="n">
        <x:f>'02_RAW_DATA'!D105</x:f>
        <x:v>1336</x:v>
      </x:c>
    </x:row>
    <x:row r="110" ht="17">
      <x:c r="A110" t="s">
        <x:v>158</x:v>
      </x:c>
      <x:c r="B110" s="42" t="n">
        <x:f>'02_RAW_DATA'!B106</x:f>
        <x:v>102</x:v>
      </x:c>
      <x:c r="C110" s="42" t="n">
        <x:f>'02_RAW_DATA'!C106</x:f>
        <x:v>85</x:v>
      </x:c>
      <x:c r="D110" s="42" t="n">
        <x:f>'02_RAW_DATA'!D106</x:f>
        <x:v>67</x:v>
      </x:c>
    </x:row>
    <x:row r="111" ht="17">
      <x:c r="A111" t="s">
        <x:v>159</x:v>
      </x:c>
      <x:c r="B111" s="42" t="n">
        <x:f>'02_RAW_DATA'!B107</x:f>
        <x:v>-81</x:v>
      </x:c>
      <x:c r="C111" s="42" t="n">
        <x:f>'02_RAW_DATA'!C107</x:f>
        <x:v>-122</x:v>
      </x:c>
      <x:c r="D111" s="42" t="n">
        <x:f>'02_RAW_DATA'!D107</x:f>
        <x:v>-67</x:v>
      </x:c>
    </x:row>
    <x:row r="112" ht="17">
      <x:c r="A112" t="s">
        <x:v>160</x:v>
      </x:c>
      <x:c r="B112" s="42" t="n">
        <x:f>'02_RAW_DATA'!B108</x:f>
        <x:v>-19</x:v>
      </x:c>
      <x:c r="C112" s="42" t="n">
        <x:f>'02_RAW_DATA'!C108</x:f>
        <x:v>0</x:v>
      </x:c>
      <x:c r="D112" s="42" t="n">
        <x:f>'02_RAW_DATA'!D108</x:f>
        <x:v>0</x:v>
      </x:c>
    </x:row>
    <x:row r="113">
      <x:c r="A113" t="s">
        <x:v>161</x:v>
      </x:c>
      <x:c r="B113" s="34" t="n">
        <x:f>'02_RAW_DATA'!B109</x:f>
        <x:v>-1141</x:v>
      </x:c>
      <x:c r="C113" s="34" t="n">
        <x:f>'02_RAW_DATA'!C109</x:f>
        <x:v>-2606</x:v>
      </x:c>
      <x:c r="D113" s="34" t="n">
        <x:f>'02_RAW_DATA'!D109</x:f>
        <x:v>3285</x:v>
      </x:c>
    </x:row>
    <x:row r="114">
      <x:c r="A114" t="s">
        <x:v>162</x:v>
      </x:c>
      <x:c r="B114" s="34" t="n">
        <x:f>'02_RAW_DATA'!B110</x:f>
        <x:v>148</x:v>
      </x:c>
      <x:c r="C114" s="34" t="n">
        <x:f>'02_RAW_DATA'!C110</x:f>
        <x:v>332</x:v>
      </x:c>
      <x:c r="D114" s="34" t="n">
        <x:f>'02_RAW_DATA'!D110</x:f>
        <x:v>231</x:v>
      </x:c>
    </x:row>
    <x:row r="115">
      <x:c r="A115" t="s">
        <x:v>163</x:v>
      </x:c>
      <x:c r="B115" s="34" t="n">
        <x:f>'02_RAW_DATA'!B111</x:f>
        <x:v>123</x:v>
      </x:c>
      <x:c r="C115" s="34" t="n">
        <x:f>'02_RAW_DATA'!C111</x:f>
        <x:v>11</x:v>
      </x:c>
      <x:c r="D115" s="34" t="n">
        <x:f>'02_RAW_DATA'!D111</x:f>
        <x:v>20</x:v>
      </x:c>
    </x:row>
    <x:row r="116">
      <x:c r="A116" t="s">
        <x:v>164</x:v>
      </x:c>
      <x:c r="B116" s="34" t="n">
        <x:f>'02_RAW_DATA'!B112</x:f>
        <x:v>0</x:v>
      </x:c>
      <x:c r="C116" s="34" t="n">
        <x:f>'02_RAW_DATA'!C112</x:f>
        <x:v>-6</x:v>
      </x:c>
      <x:c r="D116" s="34" t="n">
        <x:f>'02_RAW_DATA'!D112</x:f>
        <x:v>-6</x:v>
      </x:c>
    </x:row>
    <x:row r="117">
      <x:c r="A117" t="s">
        <x:v>145</x:v>
      </x:c>
      <x:c r="B117" s="34" t="n">
        <x:f>'02_RAW_DATA'!B113</x:f>
        <x:v>143</x:v>
      </x:c>
      <x:c r="C117" s="34" t="n">
        <x:f>'02_RAW_DATA'!C113</x:f>
        <x:v>0</x:v>
      </x:c>
      <x:c r="D117" s="34" t="n">
        <x:f>'02_RAW_DATA'!D113</x:f>
        <x:v>0</x:v>
      </x:c>
    </x:row>
    <x:row r="118">
      <x:c r="A118" s="4" t="s">
        <x:v>196</x:v>
      </x:c>
      <x:c r="B118" s="25" t="n">
        <x:f>SUM(B101:B117)</x:f>
        <x:v>-7601</x:v>
      </x:c>
      <x:c r="C118" s="25" t="n">
        <x:f>SUM(C101:C117)</x:f>
        <x:v>-10593</x:v>
      </x:c>
      <x:c r="D118" s="25" t="n">
        <x:f>SUM(D101:D117)</x:f>
        <x:v>-4157</x:v>
      </x:c>
    </x:row>
    <x:row r="120">
      <x:c r="A120" s="5" t="s">
        <x:v>166</x:v>
      </x:c>
    </x:row>
    <x:row r="121">
      <x:c r="A121" t="s">
        <x:v>167</x:v>
      </x:c>
      <x:c r="B121" s="38" t="n">
        <x:f>'02_RAW_DATA'!B117</x:f>
        <x:v>0</x:v>
      </x:c>
      <x:c r="C121" s="38" t="n">
        <x:f>'02_RAW_DATA'!C117</x:f>
        <x:v>7001</x:v>
      </x:c>
      <x:c r="D121" s="38" t="n">
        <x:f>'02_RAW_DATA'!D117</x:f>
        <x:v>0</x:v>
      </x:c>
    </x:row>
    <x:row r="122">
      <x:c r="A122" t="s">
        <x:v>168</x:v>
      </x:c>
      <x:c r="B122" s="38" t="n">
        <x:f>'02_RAW_DATA'!B118</x:f>
        <x:v>0</x:v>
      </x:c>
      <x:c r="C122" s="38" t="n">
        <x:f>'02_RAW_DATA'!C118</x:f>
        <x:v>-162</x:v>
      </x:c>
      <x:c r="D122" s="38" t="n">
        <x:f>'02_RAW_DATA'!D118</x:f>
        <x:v>0</x:v>
      </x:c>
    </x:row>
    <x:row r="123">
      <x:c r="A123" t="s">
        <x:v>169</x:v>
      </x:c>
      <x:c r="B123" s="38" t="n">
        <x:f>'02_RAW_DATA'!B119</x:f>
        <x:v>5563</x:v>
      </x:c>
      <x:c r="C123" s="38" t="n">
        <x:f>'02_RAW_DATA'!C119</x:f>
        <x:v>3237</x:v>
      </x:c>
      <x:c r="D123" s="38" t="n">
        <x:f>'02_RAW_DATA'!D119</x:f>
        <x:v>4172</x:v>
      </x:c>
    </x:row>
    <x:row r="124">
      <x:c r="A124" t="s">
        <x:v>170</x:v>
      </x:c>
      <x:c r="B124" s="38" t="n">
        <x:f>'02_RAW_DATA'!B120</x:f>
        <x:v>-1701</x:v>
      </x:c>
      <x:c r="C124" s="38" t="n">
        <x:f>'02_RAW_DATA'!C120</x:f>
        <x:v>-2861</x:v>
      </x:c>
      <x:c r="D124" s="38" t="n">
        <x:f>'02_RAW_DATA'!D120</x:f>
        <x:v>-2961</x:v>
      </x:c>
    </x:row>
    <x:row r="125">
      <x:c r="A125" t="s">
        <x:v>171</x:v>
      </x:c>
      <x:c r="B125" s="38" t="n">
        <x:f>'02_RAW_DATA'!B121</x:f>
        <x:v>-118</x:v>
      </x:c>
      <x:c r="C125" s="38" t="n">
        <x:f>'02_RAW_DATA'!C121</x:f>
        <x:v>-130</x:v>
      </x:c>
      <x:c r="D125" s="38" t="n">
        <x:f>'02_RAW_DATA'!D121</x:f>
        <x:v>-145</x:v>
      </x:c>
    </x:row>
    <x:row r="126">
      <x:c r="A126" t="s">
        <x:v>174</x:v>
      </x:c>
      <x:c r="B126" s="38" t="n">
        <x:f>'02_RAW_DATA'!B126</x:f>
        <x:v>544</x:v>
      </x:c>
      <x:c r="C126" s="38" t="n">
        <x:f>'02_RAW_DATA'!C126</x:f>
        <x:v>925</x:v>
      </x:c>
      <x:c r="D126" s="38" t="n">
        <x:f>'02_RAW_DATA'!D126</x:f>
        <x:v>-2225</x:v>
      </x:c>
    </x:row>
    <x:row r="127">
      <x:c r="A127" t="s">
        <x:v>172</x:v>
      </x:c>
      <x:c r="B127" s="34" t="n">
        <x:f>'02_RAW_DATA'!B122</x:f>
        <x:v>20</x:v>
      </x:c>
      <x:c r="C127" s="34" t="n">
        <x:f>'02_RAW_DATA'!C122</x:f>
        <x:v>18</x:v>
      </x:c>
      <x:c r="D127" s="34" t="n">
        <x:f>'02_RAW_DATA'!D122</x:f>
        <x:v>40</x:v>
      </x:c>
    </x:row>
    <x:row r="128">
      <x:c r="A128" t="s">
        <x:v>173</x:v>
      </x:c>
      <x:c r="B128" s="34" t="n">
        <x:f>'02_RAW_DATA'!B123</x:f>
        <x:v>-4</x:v>
      </x:c>
      <x:c r="C128" s="34" t="n">
        <x:f>'02_RAW_DATA'!C123</x:f>
        <x:v>-7</x:v>
      </x:c>
      <x:c r="D128" s="34" t="n">
        <x:f>'02_RAW_DATA'!D123</x:f>
        <x:v>-1</x:v>
      </x:c>
    </x:row>
    <x:row r="129">
      <x:c r="A129" t="s">
        <x:v>163</x:v>
      </x:c>
      <x:c r="B129" s="34" t="n">
        <x:f>'02_RAW_DATA'!B124</x:f>
        <x:v>86</x:v>
      </x:c>
      <x:c r="C129" s="34" t="n">
        <x:f>'02_RAW_DATA'!C124</x:f>
        <x:v>62</x:v>
      </x:c>
      <x:c r="D129" s="34" t="n">
        <x:f>'02_RAW_DATA'!D124</x:f>
        <x:v>93</x:v>
      </x:c>
    </x:row>
    <x:row r="130">
      <x:c r="A130" t="s">
        <x:v>164</x:v>
      </x:c>
      <x:c r="B130" s="34" t="n">
        <x:f>'02_RAW_DATA'!B125</x:f>
        <x:v>-58</x:v>
      </x:c>
      <x:c r="C130" s="34" t="n">
        <x:f>'02_RAW_DATA'!C125</x:f>
        <x:v>-106</x:v>
      </x:c>
      <x:c r="D130" s="34" t="n">
        <x:f>'02_RAW_DATA'!D125</x:f>
        <x:v>-38</x:v>
      </x:c>
    </x:row>
    <x:row r="131">
      <x:c r="A131" t="s">
        <x:v>175</x:v>
      </x:c>
      <x:c r="B131" s="38" t="n">
        <x:f>'02_RAW_DATA'!B127</x:f>
        <x:v>-1627</x:v>
      </x:c>
      <x:c r="C131" s="38" t="n">
        <x:f>'02_RAW_DATA'!C127</x:f>
        <x:v>-1920</x:v>
      </x:c>
      <x:c r="D131" s="38" t="n">
        <x:f>'02_RAW_DATA'!D127</x:f>
        <x:v>-1932</x:v>
      </x:c>
    </x:row>
    <x:row r="132">
      <x:c r="A132" t="s">
        <x:v>176</x:v>
      </x:c>
      <x:c r="B132" s="38" t="n">
        <x:f>'02_RAW_DATA'!B128</x:f>
        <x:v>-1718</x:v>
      </x:c>
      <x:c r="C132" s="38" t="n">
        <x:f>'02_RAW_DATA'!C128</x:f>
        <x:v>-1529</x:v>
      </x:c>
      <x:c r="D132" s="38" t="n">
        <x:f>'02_RAW_DATA'!D128</x:f>
        <x:v>-1623</x:v>
      </x:c>
    </x:row>
    <x:row r="133">
      <x:c r="A133" s="4" t="s">
        <x:v>177</x:v>
      </x:c>
      <x:c r="B133" s="20" t="n">
        <x:f>SUM(B121:B132)</x:f>
        <x:v>987</x:v>
      </x:c>
      <x:c r="C133" s="20" t="n">
        <x:f>SUM(C121:C132)</x:f>
        <x:v>4528</x:v>
      </x:c>
      <x:c r="D133" s="20" t="n">
        <x:f>SUM(D121:D132)</x:f>
        <x:v>-4620</x:v>
      </x:c>
    </x:row>
    <x:row r="135">
      <x:c r="A135" s="5" t="s">
        <x:v>197</x:v>
      </x:c>
    </x:row>
    <x:row r="136">
      <x:c r="A136" t="s">
        <x:v>198</x:v>
      </x:c>
      <x:c r="B136" s="20" t="n">
        <x:f>B98</x:f>
        <x:v>6939</x:v>
      </x:c>
      <x:c r="C136" s="20" t="n">
        <x:f t="shared" ref="C136:D136" si="19">C98</x:f>
        <x:v>6808</x:v>
      </x:c>
      <x:c r="D136" s="20">
        <x:f t="shared" si="19"/>
        <x:v>7829</x:v>
      </x:c>
    </x:row>
    <x:row r="137">
      <x:c r="A137" t="s">
        <x:v>199</x:v>
      </x:c>
      <x:c r="B137" s="20" t="n">
        <x:f>B118</x:f>
        <x:v>-7601</x:v>
      </x:c>
      <x:c r="C137" s="20" t="n">
        <x:f t="shared" ref="C137:D137" si="20">C118</x:f>
        <x:v>-10593</x:v>
      </x:c>
      <x:c r="D137" s="20">
        <x:f t="shared" si="20"/>
        <x:v>-4157</x:v>
      </x:c>
    </x:row>
    <x:row r="138">
      <x:c r="A138" t="s">
        <x:v>200</x:v>
      </x:c>
      <x:c r="B138" s="34" t="n">
        <x:f>'02_RAW_DATA'!B137</x:f>
        <x:v>102</x:v>
      </x:c>
      <x:c r="C138" s="34" t="n">
        <x:f>'02_RAW_DATA'!C137</x:f>
        <x:v>22</x:v>
      </x:c>
      <x:c r="D138" s="34" t="n">
        <x:f>'02_RAW_DATA'!D137</x:f>
        <x:v>0</x:v>
      </x:c>
    </x:row>
    <x:row r="139">
      <x:c r="A139" t="s">
        <x:v>201</x:v>
      </x:c>
      <x:c r="B139" s="20" t="n">
        <x:f>B133</x:f>
        <x:v>987</x:v>
      </x:c>
      <x:c r="C139" s="20" t="n">
        <x:f t="shared" ref="C139:D139" si="21">C133</x:f>
        <x:v>4528</x:v>
      </x:c>
      <x:c r="D139" s="20">
        <x:f t="shared" si="21"/>
        <x:v>-4620</x:v>
      </x:c>
    </x:row>
    <x:row r="140">
      <x:c r="A140" s="4" t="s">
        <x:v>178</x:v>
      </x:c>
      <x:c r="B140" s="25" t="n">
        <x:f>SUM(B136:B139)</x:f>
        <x:v>427</x:v>
      </x:c>
      <x:c r="C140" s="25" t="n">
        <x:f t="shared" ref="C140:D140" si="22">SUM(C136:C139)</x:f>
        <x:v>765</x:v>
      </x:c>
      <x:c r="D140" s="25">
        <x:f t="shared" si="22"/>
        <x:v>-948</x:v>
      </x:c>
    </x:row>
    <x:row r="141">
      <x:c r="A141" t="s">
        <x:v>179</x:v>
      </x:c>
      <x:c r="B141" s="34" t="n">
        <x:f>'02_RAW_DATA'!B132</x:f>
        <x:v>-30</x:v>
      </x:c>
      <x:c r="C141" s="34" t="n">
        <x:f>'02_RAW_DATA'!C132</x:f>
        <x:v>-123</x:v>
      </x:c>
      <x:c r="D141" s="34" t="n">
        <x:f>'02_RAW_DATA'!D132</x:f>
        <x:v>153</x:v>
      </x:c>
    </x:row>
    <x:row r="142">
      <x:c r="A142" t="s">
        <x:v>180</x:v>
      </x:c>
      <x:c r="B142" s="34" t="n">
        <x:f>'02_RAW_DATA'!B133</x:f>
        <x:v>-1</x:v>
      </x:c>
      <x:c r="C142" s="34" t="n">
        <x:f>'02_RAW_DATA'!C133</x:f>
        <x:v>-23</x:v>
      </x:c>
      <x:c r="D142" s="34" t="n">
        <x:f>'02_RAW_DATA'!D133</x:f>
        <x:v>-8</x:v>
      </x:c>
    </x:row>
    <x:row r="143">
      <x:c r="A143" t="s">
        <x:v>181</x:v>
      </x:c>
      <x:c r="B143" s="34" t="n">
        <x:f>'02_RAW_DATA'!B134</x:f>
        <x:v>163</x:v>
      </x:c>
      <x:c r="C143" s="34" t="n">
        <x:f>'02_RAW_DATA'!C134</x:f>
        <x:v>559</x:v>
      </x:c>
      <x:c r="D143" s="34" t="n">
        <x:f>'02_RAW_DATA'!D134</x:f>
        <x:v>1178</x:v>
      </x:c>
    </x:row>
    <x:row r="144">
      <x:c r="A144" s="4" t="s">
        <x:v>182</x:v>
      </x:c>
      <x:c r="B144" s="25" t="n">
        <x:f>SUM(B140:B143)</x:f>
        <x:v>559</x:v>
      </x:c>
      <x:c r="C144" s="25" t="n">
        <x:f t="shared" ref="C144:D144" si="23">SUM(C140:C143)</x:f>
        <x:v>1178</x:v>
      </x:c>
      <x:c r="D144" s="25">
        <x:f t="shared" si="23"/>
        <x:v>375</x:v>
      </x:c>
    </x:row>
    <x:row r="146">
      <x:c r="A146" s="5" t="s">
        <x:v>202</x:v>
      </x:c>
    </x:row>
    <x:row r="147">
      <x:c r="A147" t="s">
        <x:v>203</x:v>
      </x:c>
      <x:c r="B147" s="20" t="n">
        <x:f>-(B101+B102)</x:f>
        <x:v>7453</x:v>
      </x:c>
      <x:c r="C147" s="20" t="n">
        <x:f t="shared" ref="C147:D147" si="24">-(C101+C102)</x:f>
        <x:v>9306</x:v>
      </x:c>
      <x:c r="D147" s="20">
        <x:f t="shared" si="24"/>
        <x:v>10575</x:v>
      </x:c>
    </x:row>
    <x:row r="148">
      <x:c r="A148" t="s">
        <x:v>204</x:v>
      </x:c>
      <x:c r="B148" s="36" t="n">
        <x:f>B147/B6</x:f>
        <x:v>0.3754659949622166</x:v>
      </x:c>
      <x:c r="C148" s="36" t="n">
        <x:f t="shared" ref="C148:D148" si="25">C147/C6</x:f>
        <x:v>0.5063663075416258</x:v>
      </x:c>
      <x:c r="D148" s="36">
        <x:f t="shared" si="25"/>
        <x:v>0.59789676033244754</x:v>
      </x:c>
    </x:row>
    <x:row r="149">
      <x:c r="A149" t="s">
        <x:v>205</x:v>
      </x:c>
      <x:c r="B149" s="20" t="n">
        <x:f>B98-B147</x:f>
        <x:v>-514</x:v>
      </x:c>
      <x:c r="C149" s="20" t="n">
        <x:f t="shared" ref="C149:D149" si="26">C98-C147</x:f>
        <x:v>-2498</x:v>
      </x:c>
      <x:c r="D149" s="20">
        <x:f t="shared" si="26"/>
        <x:v>-2746</x:v>
      </x:c>
    </x:row>
    <x:row r="150">
      <x:c r="A150" t="s">
        <x:v>206</x:v>
      </x:c>
      <x:c r="B150" s="36" t="n">
        <x:f>B98/B11</x:f>
        <x:v>1.5506145251396648</x:v>
      </x:c>
      <x:c r="C150" s="36" t="n">
        <x:f t="shared" ref="C150:D150" si="27">C98/C11</x:f>
        <x:v>1.379813538710985</x:v>
      </x:c>
      <x:c r="D150" s="36">
        <x:f t="shared" si="27"/>
        <x:v>1.4415393113607071</x:v>
      </x:c>
    </x:row>
  </x:sheetData>
  <x:mergeCells>
    <x:mergeCell ref="A5:D5"/>
    <x:mergeCell ref="A1:D1"/>
    <x:mergeCell ref="A26:D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6"/>
  <x:cols>
    <x:col min="1" max="1" width="31" customWidth="1"/>
    <x:col min="2" max="2" width="18.1640625" customWidth="1"/>
    <x:col min="8" max="8" width="48.1640625" customWidth="1"/>
  </x:cols>
  <x:sheetData>
    <x:row r="1">
      <x:c r="A1" s="44" t="s">
        <x:v>207</x:v>
      </x:c>
      <x:c r="B1" s="44"/>
      <x:c r="C1" s="44"/>
      <x:c r="D1" s="44"/>
      <x:c r="E1" s="44"/>
      <x:c r="F1" s="44"/>
      <x:c r="G1" s="44"/>
    </x:row>
    <x:row r="3">
      <x:c r="A3" s="5" t="s">
        <x:v>208</x:v>
      </x:c>
      <x:c r="B3" s="5" t="s">
        <x:v>68</x:v>
      </x:c>
      <x:c r="C3" s="5" t="s">
        <x:v>209</x:v>
      </x:c>
      <x:c r="D3" s="5" t="s">
        <x:v>210</x:v>
      </x:c>
      <x:c r="E3" s="5" t="s">
        <x:v>211</x:v>
      </x:c>
      <x:c r="F3" s="5" t="s">
        <x:v>212</x:v>
      </x:c>
      <x:c r="G3" s="5" t="s">
        <x:v>213</x:v>
      </x:c>
      <x:c r="H3" s="5" t="s">
        <x:v>214</x:v>
      </x:c>
    </x:row>
    <x:row r="5">
      <x:c r="A5" s="5" t="s">
        <x:v>215</x:v>
      </x:c>
      <x:c r="B5" s="5"/>
    </x:row>
    <x:row r="6">
      <x:c r="A6" t="s">
        <x:v>187</x:v>
      </x:c>
      <x:c r="B6" s="45" t="n">
        <x:f>('03_HIST_FS'!D7)</x:f>
        <x:v>-0.037599303515072346</x:v>
      </x:c>
      <x:c r="C6" s="48">
        <x:v>0.08</x:v>
      </x:c>
      <x:c r="D6" s="48">
        <x:v>7.0000000000000007E-2</x:v>
      </x:c>
      <x:c r="E6" s="48">
        <x:v>6.5000000000000002E-2</x:v>
      </x:c>
      <x:c r="F6" s="48">
        <x:v>0.06</x:v>
      </x:c>
      <x:c r="G6" s="48">
        <x:v>5.5E-2</x:v>
      </x:c>
      <x:c r="H6" s="37" t="s">
        <x:v>216</x:v>
      </x:c>
    </x:row>
    <x:row r="7">
      <x:c r="A7" t="s">
        <x:v>188</x:v>
      </x:c>
      <x:c r="B7" s="45" t="n">
        <x:f>'03_HIST_FS'!D12</x:f>
        <x:v>0.3070616837225081</x:v>
      </x:c>
      <x:c r="C7" s="48">
        <x:v>0.318</x:v>
      </x:c>
      <x:c r="D7" s="48">
        <x:v>0.32</x:v>
      </x:c>
      <x:c r="E7" s="48">
        <x:v>0.32100000000000001</x:v>
      </x:c>
      <x:c r="F7" s="48">
        <x:v>0.32200000000000001</x:v>
      </x:c>
      <x:c r="G7" s="48">
        <x:v>0.32300000000000001</x:v>
      </x:c>
      <x:c r="H7" s="37" t="s">
        <x:v>216</x:v>
      </x:c>
    </x:row>
    <x:row r="8">
      <x:c r="A8" t="s">
        <x:v>190</x:v>
      </x:c>
      <x:c r="B8" s="45" t="n">
        <x:f>'03_HIST_FS'!D19</x:f>
        <x:v>0.22453371592539456</x:v>
      </x:c>
      <x:c r="C8" s="48">
        <x:v>0.22</x:v>
      </x:c>
      <x:c r="D8" s="48">
        <x:v>0.22</x:v>
      </x:c>
      <x:c r="E8" s="48">
        <x:v>0.22</x:v>
      </x:c>
      <x:c r="F8" s="48">
        <x:v>0.22</x:v>
      </x:c>
      <x:c r="G8" s="48">
        <x:v>0.22</x:v>
      </x:c>
      <x:c r="H8" s="37" t="s">
        <x:v>217</x:v>
      </x:c>
    </x:row>
    <x:row r="9">
      <x:c r="A9" t="s">
        <x:v>218</x:v>
      </x:c>
      <x:c r="B9" s="46" t="n">
        <x:f>11576</x:f>
        <x:v>11576</x:v>
      </x:c>
      <x:c r="C9" s="49">
        <x:v>13000</x:v>
      </x:c>
      <x:c r="D9" s="49">
        <x:v>13800</x:v>
      </x:c>
      <x:c r="E9" s="49">
        <x:v>14200</x:v>
      </x:c>
      <x:c r="F9" s="49">
        <x:v>14400</x:v>
      </x:c>
      <x:c r="G9" s="49">
        <x:v>14600</x:v>
      </x:c>
      <x:c r="H9" s="37" t="s">
        <x:v>219</x:v>
      </x:c>
    </x:row>
    <x:row r="10">
      <x:c r="A10" t="s">
        <x:v>220</x:v>
      </x:c>
      <x:c r="B10" s="34" t="n">
        <x:f>'03_HIST_FS'!D147</x:f>
        <x:v>10575</x:v>
      </x:c>
      <x:c r="C10" s="52" t="n">
        <x:f>C9*($B$10/$B$9)</x:f>
        <x:v>11875.86385625432</x:v>
      </x:c>
      <x:c r="D10" s="52" t="n">
        <x:f t="shared" ref="D10:G10" si="0">D9*($B$10/$B$9)</x:f>
        <x:v>12606.686247408432</x:v>
      </x:c>
      <x:c r="E10" s="52">
        <x:f t="shared" si="0"/>
        <x:v>12972.097442985487</x:v>
      </x:c>
      <x:c r="F10" s="52">
        <x:f t="shared" si="0"/>
        <x:v>13154.803040774015</x:v>
      </x:c>
      <x:c r="G10" s="52">
        <x:f t="shared" si="0"/>
        <x:v>13337.508638562544</x:v>
      </x:c>
      <x:c r="H10" s="37" t="s">
        <x:v>221</x:v>
      </x:c>
    </x:row>
    <x:row r="11">
      <x:c r="A11" t="s">
        <x:v>204</x:v>
      </x:c>
      <x:c r="B11" s="45" t="n">
        <x:f>'03_HIST_FS'!D148</x:f>
        <x:v>0.5978967603324475</x:v>
      </x:c>
      <x:c r="C11" s="50"/>
      <x:c r="D11" s="50"/>
      <x:c r="E11" s="50"/>
      <x:c r="F11" s="50"/>
      <x:c r="G11" s="50"/>
      <x:c r="H11" s="37" t="s">
        <x:v>222</x:v>
      </x:c>
    </x:row>
    <x:row r="12">
      <x:c r="A12" t="s">
        <x:v>206</x:v>
      </x:c>
      <x:c r="B12" s="45" t="n">
        <x:f>'03_HIST_FS'!D150</x:f>
        <x:v>1.4415393113607071</x:v>
      </x:c>
      <x:c r="C12" s="50"/>
      <x:c r="D12" s="50"/>
      <x:c r="E12" s="50"/>
      <x:c r="F12" s="50"/>
      <x:c r="G12" s="50"/>
      <x:c r="H12" s="37" t="s">
        <x:v>222</x:v>
      </x:c>
    </x:row>
    <x:row r="13">
      <x:c r="A13" t="s">
        <x:v>223</x:v>
      </x:c>
      <x:c r="B13" s="47" t="n">
        <x:f>10.9%</x:f>
        <x:v>0.109</x:v>
      </x:c>
      <x:c r="C13" s="51">
        <x:v>0.1</x:v>
      </x:c>
      <x:c r="D13" s="51">
        <x:v>0.1</x:v>
      </x:c>
      <x:c r="E13" s="51">
        <x:v>0.1</x:v>
      </x:c>
      <x:c r="F13" s="51">
        <x:v>0.1</x:v>
      </x:c>
      <x:c r="G13" s="51">
        <x:v>0.1</x:v>
      </x:c>
      <x:c r="H13" s="37" t="s">
        <x:v>224</x:v>
      </x:c>
    </x:row>
    <x:row r="14">
      <x:c r="A14" t="s">
        <x:v>225</x:v>
      </x:c>
      <x:c r="B14" s="35">
        <x:v>8.3000000000000004E-2</x:v>
      </x:c>
      <x:c r="C14" s="51">
        <x:v>0.14000000000000001</x:v>
      </x:c>
      <x:c r="D14" s="51">
        <x:v>0.09</x:v>
      </x:c>
      <x:c r="E14" s="51">
        <x:v>0.09</x:v>
      </x:c>
      <x:c r="F14" s="51">
        <x:v>0.09</x:v>
      </x:c>
      <x:c r="G14" s="51">
        <x:v>0.09</x:v>
      </x:c>
      <x:c r="H14" s="37" t="s">
        <x:v>226</x:v>
      </x:c>
    </x:row>
    <x:row r="16">
      <x:c r="A16" t="s">
        <x:v>227</x:v>
      </x:c>
      <x:c r="B16" s="60" t="n">
        <x:f>10425/'04_DRIVERS'!B9</x:f>
        <x:v>0.9005701451278507</x:v>
      </x:c>
      <x:c r="C16" s="60" t="n">
        <x:f>90.1%</x:f>
        <x:v>0.9009999999999999</x:v>
      </x:c>
      <x:c r="D16" s="60" t="n">
        <x:f>90.1%</x:f>
        <x:v>0.9009999999999999</x:v>
      </x:c>
      <x:c r="E16" s="60" t="n">
        <x:f>90.1%</x:f>
        <x:v>0.9009999999999999</x:v>
      </x:c>
      <x:c r="F16" s="60" t="n">
        <x:f>90.1%</x:f>
        <x:v>0.9009999999999999</x:v>
      </x:c>
      <x:c r="G16" s="60" t="n">
        <x:f>90.1%</x:f>
        <x:v>0.9009999999999999</x:v>
      </x:c>
    </x:row>
    <x:row r="17">
      <x:c r="A17" t="s">
        <x:v>228</x:v>
      </x:c>
      <x:c r="B17" s="60" t="n">
        <x:f>1989/74091</x:f>
        <x:v>0.026845365833906953</x:v>
      </x:c>
      <x:c r="C17" s="60" t="n">
        <x:f t="shared" ref="C17:G17" si="1">1989/74091</x:f>
        <x:v>0.026845365833906953</x:v>
      </x:c>
      <x:c r="D17" s="60">
        <x:f t="shared" si="1"/>
        <x:v>2.6845365833906953E-2</x:v>
      </x:c>
      <x:c r="E17" s="60">
        <x:f t="shared" si="1"/>
        <x:v>2.6845365833906953E-2</x:v>
      </x:c>
      <x:c r="F17" s="60">
        <x:f t="shared" si="1"/>
        <x:v>2.6845365833906953E-2</x:v>
      </x:c>
      <x:c r="G17" s="60">
        <x:f t="shared" si="1"/>
        <x:v>2.6845365833906953E-2</x:v>
      </x:c>
    </x:row>
    <x:row r="19">
      <x:c r="A19" t="s">
        <x:v>229</x:v>
      </x:c>
      <x:c r="B19" s="60" t="n">
        <x:f>4172/B9</x:f>
        <x:v>0.3604008293020041</x:v>
      </x:c>
      <x:c r="C19" s="63">
        <x:v>0.4</x:v>
      </x:c>
      <x:c r="D19" s="63">
        <x:v>0.4</x:v>
      </x:c>
      <x:c r="E19" s="63">
        <x:v>0.4</x:v>
      </x:c>
      <x:c r="F19" s="63">
        <x:v>0.4</x:v>
      </x:c>
      <x:c r="G19" s="63">
        <x:v>0.4</x:v>
      </x:c>
    </x:row>
    <x:row r="20">
      <x:c r="A20" t="s">
        <x:v>230</x:v>
      </x:c>
      <x:c r="B20" s="60" t="n">
        <x:f>2961/47539</x:f>
        <x:v>0.06228570226550832</x:v>
      </x:c>
      <x:c r="C20" s="64">
        <x:v>6.25E-2</x:v>
      </x:c>
      <x:c r="D20" s="64">
        <x:v>6.25E-2</x:v>
      </x:c>
      <x:c r="E20" s="64">
        <x:v>6.25E-2</x:v>
      </x:c>
      <x:c r="F20" s="64">
        <x:v>6.25E-2</x:v>
      </x:c>
      <x:c r="G20" s="64">
        <x:v>6.25E-2</x:v>
      </x:c>
    </x:row>
    <x:row r="21">
      <x:c r="A21" t="s">
        <x:v>231</x:v>
      </x:c>
      <x:c r="B21" s="60" t="n">
        <x:f>1705/((47539+46755)/2)</x:f>
        <x:v>0.036163488663117485</x:v>
      </x:c>
      <x:c r="C21" s="64">
        <x:v>3.7999999999999999E-2</x:v>
      </x:c>
      <x:c r="D21" s="64">
        <x:v>3.9E-2</x:v>
      </x:c>
      <x:c r="E21" s="63">
        <x:v>0.04</x:v>
      </x:c>
      <x:c r="F21" s="63">
        <x:v>0.04</x:v>
      </x:c>
      <x:c r="G21" s="63">
        <x:v>0.04</x:v>
      </x:c>
    </x:row>
    <x:row r="23">
      <x:c r="A23" t="s">
        <x:v>232</x:v>
      </x:c>
    </x:row>
    <x:row r="24">
      <x:c r="A24" s="21"/>
      <x:c r="B24" s="21" t="s">
        <x:v>233</x:v>
      </x:c>
    </x:row>
    <x:row r="25">
      <x:c r="A25" t="s">
        <x:v>234</x:v>
      </x:c>
      <x:c r="B25" s="74">
        <x:v>3.2000000000000001E-2</x:v>
      </x:c>
      <x:c r="C25" s="21"/>
    </x:row>
    <x:row r="26">
      <x:c r="A26" t="s">
        <x:v>235</x:v>
      </x:c>
      <x:c r="B26" s="74">
        <x:v>0.215</x:v>
      </x:c>
    </x:row>
    <x:row r="27">
      <x:c r="A27" t="s">
        <x:v>236</x:v>
      </x:c>
      <x:c r="B27" s="74">
        <x:v>0.28499999999999998</x:v>
      </x:c>
    </x:row>
    <x:row r="28">
      <x:c r="A28" t="s">
        <x:v>237</x:v>
      </x:c>
      <x:c r="B28" s="74">
        <x:v>0.15</x:v>
      </x:c>
    </x:row>
    <x:row r="29">
      <x:c r="A29" t="s">
        <x:v>238</x:v>
      </x:c>
      <x:c r="B29" s="74">
        <x:v>0.05</x:v>
      </x:c>
    </x:row>
    <x:row r="30">
      <x:c r="A30" t="s">
        <x:v>239</x:v>
      </x:c>
      <x:c r="B30" s="74">
        <x:v>0.05</x:v>
      </x:c>
    </x:row>
    <x:row r="31">
      <x:c r="A31" t="s">
        <x:v>240</x:v>
      </x:c>
      <x:c r="B31" s="74">
        <x:v>7.0000000000000007E-2</x:v>
      </x:c>
    </x:row>
    <x:row r="32">
      <x:c r="A32" t="s">
        <x:v>241</x:v>
      </x:c>
      <x:c r="B32" s="74">
        <x:v>0.111</x:v>
      </x:c>
    </x:row>
    <x:row r="33">
      <x:c r="A33" t="s">
        <x:v>242</x:v>
      </x:c>
      <x:c r="B33" s="74">
        <x:v>0.02</x:v>
      </x:c>
    </x:row>
    <x:row r="34">
      <x:c r="A34" t="s">
        <x:v>243</x:v>
      </x:c>
      <x:c r="B34" s="74">
        <x:v>0.123</x:v>
      </x:c>
    </x:row>
    <x:row r="35">
      <x:c r="A35" t="s">
        <x:v>244</x:v>
      </x:c>
      <x:c r="B35" s="75">
        <x:v>0.5</x:v>
      </x:c>
    </x:row>
    <x:row r="37">
      <x:c r="A37" t="s">
        <x:v>245</x:v>
      </x:c>
      <x:c r="B37" s="78">
        <x:v>500</x:v>
      </x:c>
    </x:row>
    <x:row r="38">
      <x:c r="A38" s="20" t="s">
        <x:v>246</x:v>
      </x:c>
      <x:c r="B38" s="79">
        <x:v>7.0000000000000007E-2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6"/>
  <x:cols>
    <x:col min="1" max="1" width="21.83203125" customWidth="1"/>
  </x:cols>
  <x:sheetData>
    <x:row r="1">
      <x:c r="A1" s="14" t="s">
        <x:v>247</x:v>
      </x:c>
      <x:c r="B1" s="14"/>
      <x:c r="C1" s="14"/>
      <x:c r="D1" s="14"/>
      <x:c r="E1" s="14"/>
      <x:c r="F1" s="14"/>
      <x:c r="G1" s="14"/>
      <x:c r="H1" s="14"/>
      <x:c r="I1" s="14"/>
    </x:row>
    <x:row r="3">
      <x:c r="A3" s="5" t="s">
        <x:v>65</x:v>
      </x:c>
      <x:c r="B3" s="5" t="s">
        <x:v>66</x:v>
      </x:c>
      <x:c r="C3" s="5" t="s">
        <x:v>67</x:v>
      </x:c>
      <x:c r="D3" s="5" t="s">
        <x:v>68</x:v>
      </x:c>
      <x:c r="E3" s="5" t="s">
        <x:v>209</x:v>
      </x:c>
      <x:c r="F3" s="5" t="s">
        <x:v>210</x:v>
      </x:c>
      <x:c r="G3" s="5" t="s">
        <x:v>211</x:v>
      </x:c>
      <x:c r="H3" s="5" t="s">
        <x:v>212</x:v>
      </x:c>
      <x:c r="I3" s="5" t="s">
        <x:v>213</x:v>
      </x:c>
    </x:row>
    <x:row r="5">
      <x:c r="A5" t="s">
        <x:v>69</x:v>
      </x:c>
      <x:c r="B5" s="34" t="n">
        <x:f>'03_HIST_FS'!B6</x:f>
        <x:v>19850</x:v>
      </x:c>
      <x:c r="C5" s="34" t="n">
        <x:f>'03_HIST_FS'!C6</x:f>
        <x:v>18378</x:v>
      </x:c>
      <x:c r="D5" s="34" t="n">
        <x:f>'03_HIST_FS'!D6</x:f>
        <x:v>17687</x:v>
      </x:c>
      <x:c r="E5" s="53" t="n">
        <x:f>D5*(1+'04_DRIVERS'!C6)</x:f>
        <x:v>19101.960000000003</x:v>
      </x:c>
      <x:c r="F5" s="53" t="n">
        <x:f>E5*(1+'04_DRIVERS'!D6)</x:f>
        <x:v>20439.097200000004</x:v>
      </x:c>
      <x:c r="G5" s="53" t="n">
        <x:f>F5*(1+'04_DRIVERS'!E6)</x:f>
        <x:v>21767.638518000003</x:v>
      </x:c>
      <x:c r="H5" s="53" t="n">
        <x:f>G5*(1+'04_DRIVERS'!F6)</x:f>
        <x:v>23073.696829080003</x:v>
      </x:c>
      <x:c r="I5" s="53" t="n">
        <x:f>H5*(1+'04_DRIVERS'!G6)</x:f>
        <x:v>24342.7501546794</x:v>
      </x:c>
    </x:row>
    <x:row r="6">
      <x:c r="A6" t="s">
        <x:v>248</x:v>
      </x:c>
      <x:c r="C6" s="36" t="n">
        <x:f>C5/B5-1</x:f>
        <x:v>-0.07415617128463481</x:v>
      </x:c>
      <x:c r="D6" s="36" t="n">
        <x:f>D5/C5-1</x:f>
        <x:v>-0.037599303515072346</x:v>
      </x:c>
      <x:c r="E6" s="56" t="n">
        <x:f>'04_DRIVERS'!C6</x:f>
        <x:v>0.08</x:v>
      </x:c>
      <x:c r="F6" s="56" t="n">
        <x:f>'04_DRIVERS'!D6</x:f>
        <x:v>0.07</x:v>
      </x:c>
      <x:c r="G6" s="56" t="n">
        <x:f>'04_DRIVERS'!E6</x:f>
        <x:v>0.065</x:v>
      </x:c>
      <x:c r="H6" s="56" t="n">
        <x:f>'04_DRIVERS'!F6</x:f>
        <x:v>0.06</x:v>
      </x:c>
      <x:c r="I6" s="56" t="n">
        <x:f>'04_DRIVERS'!G6</x:f>
        <x:v>0.055</x:v>
      </x:c>
    </x:row>
    <x:row r="8">
      <x:c r="A8" t="s">
        <x:v>73</x:v>
      </x:c>
      <x:c r="B8" s="34" t="n">
        <x:f>'03_HIST_FS'!B11</x:f>
        <x:v>4475</x:v>
      </x:c>
      <x:c r="C8" s="34" t="n">
        <x:f>'03_HIST_FS'!C11</x:f>
        <x:v>4934</x:v>
      </x:c>
      <x:c r="D8" s="34" t="n">
        <x:f>'03_HIST_FS'!D11</x:f>
        <x:v>5431</x:v>
      </x:c>
      <x:c r="E8" s="53" t="n">
        <x:f>E5*'04_DRIVERS'!C7</x:f>
        <x:v>6074.423280000001</x:v>
      </x:c>
      <x:c r="F8" s="53" t="n">
        <x:f>F5*'04_DRIVERS'!D7</x:f>
        <x:v>6540.511104000001</x:v>
      </x:c>
      <x:c r="G8" s="53" t="n">
        <x:f>G5*'04_DRIVERS'!E7</x:f>
        <x:v>6987.4119642780015</x:v>
      </x:c>
      <x:c r="H8" s="53" t="n">
        <x:f>H5*'04_DRIVERS'!F7</x:f>
        <x:v>7429.730378963761</x:v>
      </x:c>
      <x:c r="I8" s="53" t="n">
        <x:f>I5*'04_DRIVERS'!G7</x:f>
        <x:v>7862.708299961447</x:v>
      </x:c>
    </x:row>
    <x:row r="9">
      <x:c r="A9" t="s">
        <x:v>188</x:v>
      </x:c>
      <x:c r="B9" s="36" t="n">
        <x:f>B8/B5</x:f>
        <x:v>0.22544080604534006</x:v>
      </x:c>
      <x:c r="C9" s="36" t="n">
        <x:f>C8/C5</x:f>
        <x:v>0.26847317444770924</x:v>
      </x:c>
      <x:c r="D9" s="36" t="n">
        <x:f>D8/D5</x:f>
        <x:v>0.3070616837225081</x:v>
      </x:c>
      <x:c r="E9" s="56" t="n">
        <x:f>'04_DRIVERS'!C7</x:f>
        <x:v>0.318</x:v>
      </x:c>
      <x:c r="F9" s="56" t="n">
        <x:f>'04_DRIVERS'!D7</x:f>
        <x:v>0.32</x:v>
      </x:c>
      <x:c r="G9" s="56" t="n">
        <x:f>'04_DRIVERS'!E7</x:f>
        <x:v>0.321</x:v>
      </x:c>
      <x:c r="H9" s="56" t="n">
        <x:f>'04_DRIVERS'!F7</x:f>
        <x:v>0.322</x:v>
      </x:c>
      <x:c r="I9" s="56" t="n">
        <x:f>'04_DRIVERS'!G7</x:f>
        <x:v>0.323</x:v>
      </x:c>
    </x:row>
    <x:row r="11">
      <x:c r="A11" t="s">
        <x:v>74</x:v>
      </x:c>
      <x:c r="B11" s="34" t="n">
        <x:f>'03_HIST_FS'!B13</x:f>
        <x:v>248</x:v>
      </x:c>
      <x:c r="C11" s="34" t="n">
        <x:f>'03_HIST_FS'!C13</x:f>
        <x:v>450</x:v>
      </x:c>
      <x:c r="D11" s="34" t="n">
        <x:f>'03_HIST_FS'!D13</x:f>
        <x:v>380</x:v>
      </x:c>
      <x:c r="E11" t="n">
        <x:f>$D11</x:f>
        <x:v>380</x:v>
      </x:c>
      <x:c r="F11" s="20" t="n">
        <x:f t="shared" ref="F11:I11" si="0">$D11</x:f>
        <x:v>380</x:v>
      </x:c>
      <x:c r="G11" s="20">
        <x:f t="shared" si="0"/>
        <x:v>380</x:v>
      </x:c>
      <x:c r="H11" s="20">
        <x:f t="shared" si="0"/>
        <x:v>380</x:v>
      </x:c>
      <x:c r="I11" s="20">
        <x:f t="shared" si="0"/>
        <x:v>380</x:v>
      </x:c>
    </x:row>
    <x:row r="12">
      <x:c r="A12" t="s">
        <x:v>75</x:v>
      </x:c>
      <x:c r="B12" s="34" t="n">
        <x:f>'03_HIST_FS'!B14</x:f>
        <x:v>-1712</x:v>
      </x:c>
      <x:c r="C12" s="34" t="n">
        <x:f>'03_HIST_FS'!C14</x:f>
        <x:v>-1807</x:v>
      </x:c>
      <x:c r="D12" s="34" t="n">
        <x:f>'03_HIST_FS'!D14</x:f>
        <x:v>-1705</x:v>
      </x:c>
      <x:c r="E12" s="53" t="n">
        <x:f>-'09_DEBT'!C13</x:f>
        <x:v>-1819.9684375</x:v>
      </x:c>
      <x:c r="F12" s="53" t="n">
        <x:f>-'09_DEBT'!D13</x:f>
        <x:v>-2134.2425271967045</x:v>
      </x:c>
      <x:c r="G12" s="53" t="n">
        <x:f>-'09_DEBT'!E13</x:f>
        <x:v>-2471.614568352887</x:v>
      </x:c>
      <x:c r="H12" s="53" t="n">
        <x:f>-'09_DEBT'!F13</x:f>
        <x:v>-2754.5340897965875</x:v>
      </x:c>
      <x:c r="I12" s="53" t="n">
        <x:f>-'09_DEBT'!G13</x:f>
        <x:v>-3032.2926748883665</x:v>
      </x:c>
    </x:row>
    <x:row r="13">
      <x:c r="A13" t="s">
        <x:v>249</x:v>
      </x:c>
      <x:c r="B13" s="34" t="n" cm="1">
        <x:f t="array" ref="B13:D13">'03_HIST_FS'!B15:D15</x:f>
        <x:v>37</x:v>
      </x:c>
      <x:c r="C13" s="34" t="n">
        <x:v>73</x:v>
      </x:c>
      <x:c r="D13" s="34" t="n">
        <x:v>76</x:v>
      </x:c>
      <x:c r="E13" s="57" t="n">
        <x:f>D13*1.03</x:f>
        <x:v>78.28</x:v>
      </x:c>
      <x:c r="F13" s="57" t="n">
        <x:f t="shared" ref="F13:I13" si="1">E13*1.03</x:f>
        <x:v>80.6284</x:v>
      </x:c>
      <x:c r="G13" s="57">
        <x:f t="shared" si="1"/>
        <x:v>83.047252</x:v>
      </x:c>
      <x:c r="H13" s="57">
        <x:f t="shared" si="1"/>
        <x:v>85.538669560000002</x:v>
      </x:c>
      <x:c r="I13" s="57">
        <x:f t="shared" si="1"/>
        <x:v>88.104829646799999</x:v>
      </x:c>
    </x:row>
    <x:row r="14">
      <x:c r="E14" s="27"/>
      <x:c r="F14" s="27"/>
      <x:c r="G14" s="27"/>
      <x:c r="H14" s="27"/>
      <x:c r="I14" s="27"/>
    </x:row>
    <x:row r="15">
      <x:c r="A15" t="s">
        <x:v>77</x:v>
      </x:c>
      <x:c r="B15" s="34" t="n">
        <x:f>'03_HIST_FS'!B16</x:f>
        <x:v>3048</x:v>
      </x:c>
      <x:c r="C15" s="34" t="n">
        <x:f>'03_HIST_FS'!C16</x:f>
        <x:v>3650</x:v>
      </x:c>
      <x:c r="D15" s="34" t="n">
        <x:f>'03_HIST_FS'!D16</x:f>
        <x:v>4182</x:v>
      </x:c>
      <x:c r="E15" s="68" t="n">
        <x:f>E8+E11+E12+E13</x:f>
        <x:v>4712.734842500001</x:v>
      </x:c>
      <x:c r="F15" s="68" t="n">
        <x:f t="shared" ref="F15:I15" si="2">F8+F11+F12+F13</x:f>
        <x:v>4866.896976803297</x:v>
      </x:c>
      <x:c r="G15" s="68">
        <x:f t="shared" si="2"/>
        <x:v>4978.8446479251143</x:v>
      </x:c>
      <x:c r="H15" s="68">
        <x:f t="shared" si="2"/>
        <x:v>5140.7349587271738</x:v>
      </x:c>
      <x:c r="I15" s="68">
        <x:f t="shared" si="2"/>
        <x:v>5298.52045471988</x:v>
      </x:c>
    </x:row>
    <x:row r="16">
      <x:c r="A16" t="s">
        <x:v>190</x:v>
      </x:c>
      <x:c r="B16" s="36" t="n">
        <x:f>-B17/B15</x:f>
        <x:v>0.27263779527559057</x:v>
      </x:c>
      <x:c r="C16" s="36" t="n">
        <x:f t="shared" ref="C16:D16" si="3">-C17/C15</x:f>
        <x:v>0.22493150684931507</x:v>
      </x:c>
      <x:c r="D16" s="36">
        <x:f t="shared" si="3"/>
        <x:v>0.22453371592539456</x:v>
      </x:c>
      <x:c r="E16" s="58" t="n">
        <x:f>'04_DRIVERS'!C8</x:f>
        <x:v>0.22</x:v>
      </x:c>
      <x:c r="F16" s="58" t="n">
        <x:f>'04_DRIVERS'!D8</x:f>
        <x:v>0.22</x:v>
      </x:c>
      <x:c r="G16" s="58" t="n">
        <x:f>'04_DRIVERS'!E8</x:f>
        <x:v>0.22</x:v>
      </x:c>
      <x:c r="H16" s="58" t="n">
        <x:f>'04_DRIVERS'!F8</x:f>
        <x:v>0.22</x:v>
      </x:c>
      <x:c r="I16" s="58" t="n">
        <x:f>'04_DRIVERS'!G8</x:f>
        <x:v>0.22</x:v>
      </x:c>
    </x:row>
    <x:row r="17">
      <x:c r="A17" t="s">
        <x:v>250</x:v>
      </x:c>
      <x:c r="B17" s="34" t="n">
        <x:f>'03_HIST_FS'!B18</x:f>
        <x:v>-831</x:v>
      </x:c>
      <x:c r="C17" s="34" t="n">
        <x:f>'03_HIST_FS'!C18</x:f>
        <x:v>-821</x:v>
      </x:c>
      <x:c r="D17" s="34" t="n">
        <x:f>'03_HIST_FS'!D18</x:f>
        <x:v>-939</x:v>
      </x:c>
      <x:c r="E17" s="53" t="n">
        <x:f>-E15*E16</x:f>
        <x:v>-1036.8016653500001</x:v>
      </x:c>
      <x:c r="F17" s="53" t="n">
        <x:f t="shared" ref="F17:I17" si="4">-F15*F16</x:f>
        <x:v>-1070.7173348967253</x:v>
      </x:c>
      <x:c r="G17" s="53">
        <x:f t="shared" si="4"/>
        <x:v>-1095.3458225435252</x:v>
      </x:c>
      <x:c r="H17" s="53">
        <x:f t="shared" si="4"/>
        <x:v>-1130.9616909199783</x:v>
      </x:c>
      <x:c r="I17" s="53">
        <x:f t="shared" si="4"/>
        <x:v>-1165.6745000383737</x:v>
      </x:c>
    </x:row>
    <x:row r="19">
      <x:c r="A19" t="s">
        <x:v>251</x:v>
      </x:c>
      <x:c r="B19" s="34" t="n">
        <x:f>'03_HIST_FS'!B20</x:f>
        <x:v>2217</x:v>
      </x:c>
      <x:c r="C19" s="34" t="n">
        <x:f>'03_HIST_FS'!C20</x:f>
        <x:v>2829</x:v>
      </x:c>
      <x:c r="D19" s="34" t="n">
        <x:f>'03_HIST_FS'!D20</x:f>
        <x:v>3243</x:v>
      </x:c>
      <x:c r="E19" s="53" t="n">
        <x:f>E15+E17</x:f>
        <x:v>3675.933177150001</x:v>
      </x:c>
      <x:c r="F19" s="53" t="n">
        <x:f t="shared" ref="F19:I19" si="5">F15+F17</x:f>
        <x:v>3796.1796419065713</x:v>
      </x:c>
      <x:c r="G19" s="53">
        <x:f t="shared" si="5"/>
        <x:v>3883.4988253815891</x:v>
      </x:c>
      <x:c r="H19" s="53">
        <x:f t="shared" si="5"/>
        <x:v>4009.7732678071952</x:v>
      </x:c>
      <x:c r="I19" s="53">
        <x:f t="shared" si="5"/>
        <x:v>4132.8459546815066</x:v>
      </x:c>
    </x:row>
    <x:row r="20">
      <x:c r="A20" t="s">
        <x:v>252</x:v>
      </x:c>
      <x:c r="C20" s="36" t="n">
        <x:f>C19/B19-1</x:f>
        <x:v>0.2760487144790258</x:v>
      </x:c>
      <x:c r="D20" s="36" t="n">
        <x:f>D19/C19-1</x:f>
        <x:v>0.14634146341463405</x:v>
      </x:c>
      <x:c r="E20" s="55" t="n">
        <x:f>E19/D19-1</x:f>
        <x:v>0.1334977419518968</x:v>
      </x:c>
      <x:c r="F20" s="55" t="n">
        <x:f t="shared" ref="F20:I20" si="6">F19/E19-1</x:f>
        <x:v>0.03271182009075546</x:v>
      </x:c>
      <x:c r="G20" s="55">
        <x:f t="shared" si="6"/>
        <x:v>2.3001857580997598E-2</x:v>
      </x:c>
      <x:c r="H20" s="55">
        <x:f t="shared" si="6"/>
        <x:v>3.2515638114863687E-2</x:v>
      </x:c>
      <x:c r="I20" s="55">
        <x:f t="shared" si="6"/>
        <x:v>3.0693178555109446E-2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6"/>
  <x:cols>
    <x:col min="1" max="1" width="23.5" customWidth="1"/>
  </x:cols>
  <x:sheetData>
    <x:row r="1">
      <x:c r="A1" s="15" t="s">
        <x:v>253</x:v>
      </x:c>
      <x:c r="B1" s="15"/>
      <x:c r="C1" s="15"/>
      <x:c r="D1" s="15"/>
      <x:c r="E1" s="15"/>
      <x:c r="F1" s="15"/>
      <x:c r="G1" s="15"/>
      <x:c r="H1" s="15"/>
      <x:c r="I1" s="15"/>
    </x:row>
    <x:row r="3">
      <x:c r="A3" s="25" t="s">
        <x:v>254</x:v>
      </x:c>
      <x:c r="B3" s="25" t="s">
        <x:v>66</x:v>
      </x:c>
      <x:c r="C3" s="25" t="s">
        <x:v>67</x:v>
      </x:c>
      <x:c r="D3" s="25" t="s">
        <x:v>68</x:v>
      </x:c>
      <x:c r="E3" s="25" t="s">
        <x:v>209</x:v>
      </x:c>
      <x:c r="F3" s="25" t="s">
        <x:v>210</x:v>
      </x:c>
      <x:c r="G3" s="25" t="s">
        <x:v>211</x:v>
      </x:c>
      <x:c r="H3" s="25" t="s">
        <x:v>212</x:v>
      </x:c>
      <x:c r="I3" s="25" t="s">
        <x:v>213</x:v>
      </x:c>
    </x:row>
    <x:row r="5">
      <x:c r="A5" s="25" t="s">
        <x:v>84</x:v>
      </x:c>
    </x:row>
    <x:row r="6">
      <x:c r="A6" t="s">
        <x:v>86</x:v>
      </x:c>
      <x:c r="B6" s="71" t="n">
        <x:f>'03_HIST_FS'!B29</x:f>
        <x:v>9729</x:v>
      </x:c>
      <x:c r="C6" s="71" t="n">
        <x:f>'03_HIST_FS'!C29</x:f>
        <x:v>9532</x:v>
      </x:c>
      <x:c r="D6" s="71" t="n">
        <x:f>'03_HIST_FS'!D29</x:f>
        <x:v>9417</x:v>
      </x:c>
      <x:c r="E6" s="66" t="n">
        <x:f>$D6</x:f>
        <x:v>9417</x:v>
      </x:c>
      <x:c r="F6" s="66" t="n">
        <x:f t="shared" ref="F6:I6" si="0">$D6</x:f>
        <x:v>9417</x:v>
      </x:c>
      <x:c r="G6" s="66">
        <x:f t="shared" si="0"/>
        <x:v>9417</x:v>
      </x:c>
      <x:c r="H6" s="66">
        <x:f t="shared" si="0"/>
        <x:v>9417</x:v>
      </x:c>
      <x:c r="I6" s="66">
        <x:f t="shared" si="0"/>
        <x:v>9417</x:v>
      </x:c>
    </x:row>
    <x:row r="7">
      <x:c r="A7" s="37" t="s">
        <x:v>87</x:v>
      </x:c>
      <x:c r="B7" s="71" t="n">
        <x:f>'03_HIST_FS'!B30</x:f>
        <x:v>3431</x:v>
      </x:c>
      <x:c r="C7" s="71" t="n">
        <x:f>'03_HIST_FS'!C30</x:f>
        <x:v>3564</x:v>
      </x:c>
      <x:c r="D7" s="71" t="n">
        <x:f>'03_HIST_FS'!D30</x:f>
        <x:v>3879</x:v>
      </x:c>
      <x:c r="E7" s="66" t="n">
        <x:f>D7*(1+'04_DRIVERS'!$B$29)</x:f>
        <x:v>4072.9500000000003</x:v>
      </x:c>
      <x:c r="F7" s="66" t="n">
        <x:f>E7*(1+'04_DRIVERS'!$B$29)</x:f>
        <x:v>4276.597500000001</x:v>
      </x:c>
      <x:c r="G7" s="66" t="n">
        <x:f>F7*(1+'04_DRIVERS'!$B$29)</x:f>
        <x:v>4490.427375000001</x:v>
      </x:c>
      <x:c r="H7" s="66" t="n">
        <x:f>G7*(1+'04_DRIVERS'!$B$29)</x:f>
        <x:v>4714.948743750001</x:v>
      </x:c>
      <x:c r="I7" s="66" t="n">
        <x:f>H7*(1+'04_DRIVERS'!$B$29)</x:f>
        <x:v>4950.696180937502</x:v>
      </x:c>
    </x:row>
    <x:row r="8">
      <x:c r="A8" s="37" t="s">
        <x:v>255</x:v>
      </x:c>
      <x:c r="B8" s="71" t="n">
        <x:f>'03_HIST_FS'!B31</x:f>
        <x:v>68907</x:v>
      </x:c>
      <x:c r="C8" s="71" t="n">
        <x:f>'03_HIST_FS'!C31</x:f>
        <x:v>74091</x:v>
      </x:c>
      <x:c r="D8" s="71" t="n">
        <x:f>'03_HIST_FS'!D31</x:f>
        <x:v>81520</x:v>
      </x:c>
      <x:c r="E8" s="66" t="n">
        <x:f>'08_CAPEX_PPE'!C9</x:f>
        <x:v>91044.5657772199</x:v>
      </x:c>
      <x:c r="F8" s="66" t="n">
        <x:f>'08_CAPEX_PPE'!D9</x:f>
        <x:v>101034.24110174124</x:v>
      </x:c>
      <x:c r="G8" s="66" t="n">
        <x:f>'08_CAPEX_PPE'!E9</x:f>
        <x:v>111116.13993761383</x:v>
      </x:c>
      <x:c r="H8" s="66" t="n">
        <x:f>'08_CAPEX_PPE'!F9</x:f>
        <x:v>121107.58651093698</x:v>
      </x:c>
      <x:c r="I8" s="66" t="n">
        <x:f>'08_CAPEX_PPE'!G9</x:f>
        <x:v>131011.00904578932</x:v>
      </x:c>
    </x:row>
    <x:row r="9">
      <x:c r="A9" s="37" t="s">
        <x:v>89</x:v>
      </x:c>
      <x:c r="B9" s="66" t="n">
        <x:f>B10-B6-B7-B8</x:f>
        <x:v>5879</x:v>
      </x:c>
      <x:c r="C9" s="66" t="n">
        <x:f t="shared" ref="C9:D9" si="1">C10-C6-C7-C8</x:f>
        <x:v>5223</x:v>
      </x:c>
      <x:c r="D9" s="66">
        <x:f t="shared" si="1"/>
        <x:v>5980</x:v>
      </x:c>
      <x:c r="E9" s="66" t="n">
        <x:f>D9*(1+'04_DRIVERS'!$B$30)</x:f>
        <x:v>6279</x:v>
      </x:c>
      <x:c r="F9" s="66" t="n">
        <x:f>E9*(1+'04_DRIVERS'!$B$30)</x:f>
        <x:v>6592.950000000001</x:v>
      </x:c>
      <x:c r="G9" s="66" t="n">
        <x:f>F9*(1+'04_DRIVERS'!$B$30)</x:f>
        <x:v>6922.597500000001</x:v>
      </x:c>
      <x:c r="H9" s="66" t="n">
        <x:f>G9*(1+'04_DRIVERS'!$B$30)</x:f>
        <x:v>7268.727375000001</x:v>
      </x:c>
      <x:c r="I9" s="66" t="n">
        <x:f>H9*(1+'04_DRIVERS'!$B$30)</x:f>
        <x:v>7632.163743750002</x:v>
      </x:c>
    </x:row>
    <x:row r="10">
      <x:c r="A10" s="25" t="s">
        <x:v>94</x:v>
      </x:c>
      <x:c r="B10" s="76" t="n">
        <x:f>'03_HIST_FS'!B37</x:f>
        <x:v>87946</x:v>
      </x:c>
      <x:c r="C10" s="76" t="n">
        <x:f>'03_HIST_FS'!C37</x:f>
        <x:v>92410</x:v>
      </x:c>
      <x:c r="D10" s="76" t="n">
        <x:f>'03_HIST_FS'!D37</x:f>
        <x:v>100796</x:v>
      </x:c>
      <x:c r="E10" s="66" t="n">
        <x:f>SUM(E6:E9)</x:f>
        <x:v>110813.5157772199</x:v>
      </x:c>
      <x:c r="F10" s="66" t="n">
        <x:f t="shared" ref="F10:I10" si="2">SUM(F6:F9)</x:f>
        <x:v>121320.78860174124</x:v>
      </x:c>
      <x:c r="G10" s="66">
        <x:f t="shared" si="2"/>
        <x:v>131946.16481261383</x:v>
      </x:c>
      <x:c r="H10" s="66">
        <x:f t="shared" si="2"/>
        <x:v>142508.26262968697</x:v>
      </x:c>
      <x:c r="I10" s="66">
        <x:f t="shared" si="2"/>
        <x:v>153010.86897047682</x:v>
      </x:c>
    </x:row>
    <x:row r="11">
      <x:c r="B11" s="66"/>
      <x:c r="C11" s="66"/>
      <x:c r="D11" s="66"/>
      <x:c r="E11" s="66"/>
      <x:c r="F11" s="66"/>
      <x:c r="G11" s="66"/>
      <x:c r="H11" s="66"/>
      <x:c r="I11" s="66"/>
    </x:row>
    <x:row r="12">
      <x:c r="A12" t="s">
        <x:v>96</x:v>
      </x:c>
      <x:c r="B12" s="71" t="n">
        <x:f>'03_HIST_FS'!B39</x:f>
        <x:v>828</x:v>
      </x:c>
      <x:c r="C12" s="71" t="n">
        <x:f>'03_HIST_FS'!C39</x:f>
        <x:v>557</x:v>
      </x:c>
      <x:c r="D12" s="71" t="n">
        <x:f>'03_HIST_FS'!D39</x:f>
        <x:v>559</x:v>
      </x:c>
      <x:c r="E12" s="66" t="n">
        <x:f>'05_INCOME_STATEMENT'!E5*'04_DRIVERS'!$B$25</x:f>
        <x:v>611.2627200000001</x:v>
      </x:c>
      <x:c r="F12" s="66" t="n">
        <x:f>'05_INCOME_STATEMENT'!F5*'04_DRIVERS'!$B$25</x:f>
        <x:v>654.0511104000001</x:v>
      </x:c>
      <x:c r="G12" s="66" t="n">
        <x:f>'05_INCOME_STATEMENT'!G5*'04_DRIVERS'!$B$25</x:f>
        <x:v>696.5644325760002</x:v>
      </x:c>
      <x:c r="H12" s="66" t="n">
        <x:f>'05_INCOME_STATEMENT'!H5*'04_DRIVERS'!$B$25</x:f>
        <x:v>738.3582985305601</x:v>
      </x:c>
      <x:c r="I12" s="66" t="n">
        <x:f>'05_INCOME_STATEMENT'!I5*'04_DRIVERS'!$B$25</x:f>
        <x:v>778.9680049497408</x:v>
      </x:c>
    </x:row>
    <x:row r="13">
      <x:c r="A13" t="s">
        <x:v>97</x:v>
      </x:c>
      <x:c r="B13" s="71" t="n">
        <x:f>'03_HIST_FS'!B40</x:f>
        <x:v>3415</x:v>
      </x:c>
      <x:c r="C13" s="71" t="n">
        <x:f>'03_HIST_FS'!C40</x:f>
        <x:v>4092</x:v>
      </x:c>
      <x:c r="D13" s="71" t="n">
        <x:f>'03_HIST_FS'!D40</x:f>
        <x:v>3867</x:v>
      </x:c>
      <x:c r="E13" s="66" t="n">
        <x:f>'05_INCOME_STATEMENT'!E5*'04_DRIVERS'!$B$26</x:f>
        <x:v>4106.9214</x:v>
      </x:c>
      <x:c r="F13" s="66" t="n">
        <x:f>'05_INCOME_STATEMENT'!F5*'04_DRIVERS'!$B$26</x:f>
        <x:v>4394.405898000001</x:v>
      </x:c>
      <x:c r="G13" s="66" t="n">
        <x:f>'05_INCOME_STATEMENT'!G5*'04_DRIVERS'!$B$26</x:f>
        <x:v>4680.042281370001</x:v>
      </x:c>
      <x:c r="H13" s="66" t="n">
        <x:f>'05_INCOME_STATEMENT'!H5*'04_DRIVERS'!$B$26</x:f>
        <x:v>4960.844818252201</x:v>
      </x:c>
      <x:c r="I13" s="66" t="n">
        <x:f>'05_INCOME_STATEMENT'!I5*'04_DRIVERS'!$B$26</x:f>
        <x:v>5233.691283256071</x:v>
      </x:c>
    </x:row>
    <x:row r="14">
      <x:c r="A14" t="s">
        <x:v>101</x:v>
      </x:c>
      <x:c r="B14" s="71" t="n">
        <x:f>'03_HIST_FS'!B44</x:f>
        <x:v>559</x:v>
      </x:c>
      <x:c r="C14" s="71" t="n">
        <x:f>'03_HIST_FS'!C44</x:f>
        <x:v>1178</x:v>
      </x:c>
      <x:c r="D14" s="71" t="n">
        <x:f>'03_HIST_FS'!D44</x:f>
        <x:v>375</x:v>
      </x:c>
      <x:c r="E14" s="66" t="n">
        <x:f>'07_CASH_FLOW'!E26</x:f>
        <x:v>499.99999999999955</x:v>
      </x:c>
      <x:c r="F14" s="66" t="n">
        <x:f>'07_CASH_FLOW'!F26</x:f>
        <x:v>500</x:v>
      </x:c>
      <x:c r="G14" s="66" t="n">
        <x:f>'07_CASH_FLOW'!G26</x:f>
        <x:v>499.99999999999955</x:v>
      </x:c>
      <x:c r="H14" s="66" t="n">
        <x:f>'07_CASH_FLOW'!H26</x:f>
        <x:v>499.99999999999955</x:v>
      </x:c>
      <x:c r="I14" s="66" t="n">
        <x:f>'07_CASH_FLOW'!I26</x:f>
        <x:v>499.99999999999955</x:v>
      </x:c>
    </x:row>
    <x:row r="15">
      <x:c r="A15" t="s">
        <x:v>256</x:v>
      </x:c>
      <x:c r="B15" s="66" t="n">
        <x:f>B16-B12-B13-B14</x:f>
        <x:v>5577</x:v>
      </x:c>
      <x:c r="C15" s="66" t="n">
        <x:f t="shared" ref="C15:D15" si="3">C16-C12-C13-C14</x:f>
        <x:v>8505</x:v>
      </x:c>
      <x:c r="D15" s="66">
        <x:f t="shared" si="3"/>
        <x:v>2684</x:v>
      </x:c>
      <x:c r="E15" s="66" t="n">
        <x:f>'05_INCOME_STATEMENT'!E5*'04_DRIVERS'!$B$28</x:f>
        <x:v>2865.2940000000003</x:v>
      </x:c>
      <x:c r="F15" s="66" t="n">
        <x:f>'05_INCOME_STATEMENT'!F5*'04_DRIVERS'!$B$28</x:f>
        <x:v>3065.8645800000004</x:v>
      </x:c>
      <x:c r="G15" s="66" t="n">
        <x:f>'05_INCOME_STATEMENT'!G5*'04_DRIVERS'!$B$28</x:f>
        <x:v>3265.1457777000005</x:v>
      </x:c>
      <x:c r="H15" s="66" t="n">
        <x:f>'05_INCOME_STATEMENT'!H5*'04_DRIVERS'!$B$28</x:f>
        <x:v>3461.0545243620004</x:v>
      </x:c>
      <x:c r="I15" s="66" t="n">
        <x:f>'05_INCOME_STATEMENT'!I5*'04_DRIVERS'!$B$28</x:f>
        <x:v>3651.41252320191</x:v>
      </x:c>
    </x:row>
    <x:row r="16">
      <x:c r="A16" t="s">
        <x:v>103</x:v>
      </x:c>
      <x:c r="B16" s="71" t="n">
        <x:f>'03_HIST_FS'!B46</x:f>
        <x:v>10379</x:v>
      </x:c>
      <x:c r="C16" s="71" t="n">
        <x:f>'03_HIST_FS'!C46</x:f>
        <x:v>14332</x:v>
      </x:c>
      <x:c r="D16" s="71" t="n">
        <x:f>'03_HIST_FS'!D46</x:f>
        <x:v>7485</x:v>
      </x:c>
      <x:c r="E16" s="66" t="n">
        <x:f>SUM(E12:E15)</x:f>
        <x:v>8083.47812</x:v>
      </x:c>
      <x:c r="F16" s="66" t="n">
        <x:f t="shared" ref="F16:I16" si="4">SUM(F12:F15)</x:f>
        <x:v>8614.321588400002</x:v>
      </x:c>
      <x:c r="G16" s="66">
        <x:f t="shared" si="4"/>
        <x:v>9141.7524916460025</x:v>
      </x:c>
      <x:c r="H16" s="66">
        <x:f t="shared" si="4"/>
        <x:v>9660.2576411447608</x:v>
      </x:c>
      <x:c r="I16" s="66">
        <x:f t="shared" si="4"/>
        <x:v>10164.071811407723</x:v>
      </x:c>
    </x:row>
    <x:row r="17">
      <x:c r="B17" s="66"/>
      <x:c r="C17" s="66"/>
      <x:c r="D17" s="66"/>
      <x:c r="E17" s="66"/>
      <x:c r="F17" s="66"/>
      <x:c r="G17" s="66"/>
      <x:c r="H17" s="66"/>
      <x:c r="I17" s="66"/>
    </x:row>
    <x:row r="18">
      <x:c r="A18" s="25" t="s">
        <x:v>104</x:v>
      </x:c>
      <x:c r="B18" s="73" t="n">
        <x:f>B10+B16</x:f>
        <x:v>98325</x:v>
      </x:c>
      <x:c r="C18" s="73" t="n">
        <x:f t="shared" ref="C18:D18" si="5">C10+C16</x:f>
        <x:v>106742</x:v>
      </x:c>
      <x:c r="D18" s="73">
        <x:f t="shared" si="5"/>
        <x:v>108281</x:v>
      </x:c>
      <x:c r="E18" s="73" t="n">
        <x:f>E10+E16</x:f>
        <x:v>118896.9938972199</x:v>
      </x:c>
      <x:c r="F18" s="73" t="n">
        <x:f t="shared" ref="F18:I18" si="6">F10+F16</x:f>
        <x:v>129935.11019014125</x:v>
      </x:c>
      <x:c r="G18" s="73">
        <x:f t="shared" si="6"/>
        <x:v>141087.91730425984</x:v>
      </x:c>
      <x:c r="H18" s="73">
        <x:f t="shared" si="6"/>
        <x:v>152168.52027083174</x:v>
      </x:c>
      <x:c r="I18" s="73">
        <x:f t="shared" si="6"/>
        <x:v>163174.94078188454</x:v>
      </x:c>
    </x:row>
    <x:row r="19">
      <x:c r="B19" s="66"/>
      <x:c r="C19" s="66"/>
      <x:c r="D19" s="66"/>
      <x:c r="E19" s="66"/>
      <x:c r="F19" s="66"/>
      <x:c r="G19" s="66"/>
      <x:c r="H19" s="66"/>
      <x:c r="I19" s="66"/>
    </x:row>
    <x:row r="20">
      <x:c r="A20" s="25" t="s">
        <x:v>105</x:v>
      </x:c>
      <x:c r="B20" s="66"/>
      <x:c r="C20" s="66"/>
      <x:c r="D20" s="66"/>
      <x:c r="E20" s="66"/>
      <x:c r="F20" s="66"/>
      <x:c r="G20" s="66"/>
      <x:c r="H20" s="66"/>
      <x:c r="I20" s="66"/>
    </x:row>
    <x:row r="21">
      <x:c r="A21" t="s">
        <x:v>257</x:v>
      </x:c>
      <x:c r="B21" s="77">
        <x:v>47072</x:v>
      </x:c>
      <x:c r="C21" s="77">
        <x:v>47539</x:v>
      </x:c>
      <x:c r="D21" s="77">
        <x:v>46755</x:v>
      </x:c>
      <x:c r="E21" s="66" t="n">
        <x:f>'09_DEBT'!C9</x:f>
        <x:v>53640.43082737349</x:v>
      </x:c>
      <x:c r="F21" s="66" t="n">
        <x:f>'09_DEBT'!D9</x:f>
        <x:v>60851.98886071966</x:v>
      </x:c>
      <x:c r="G21" s="66" t="n">
        <x:f>'09_DEBT'!E9</x:f>
        <x:v>68111.84747862161</x:v>
      </x:c>
      <x:c r="H21" s="66" t="n">
        <x:f>'09_DEBT'!F9</x:f>
        <x:v>75238.52064228042</x:v>
      </x:c>
      <x:c r="I21" s="66" t="n">
        <x:f>'09_DEBT'!G9</x:f>
        <x:v>82236.15728290583</x:v>
      </x:c>
    </x:row>
    <x:row r="22">
      <x:c r="A22" t="s">
        <x:v>109</x:v>
      </x:c>
      <x:c r="B22" s="77">
        <x:v>4076</x:v>
      </x:c>
      <x:c r="C22" s="77">
        <x:v>4472</x:v>
      </x:c>
      <x:c r="D22" s="77">
        <x:v>5049</x:v>
      </x:c>
      <x:c r="E22" s="66" t="n">
        <x:f>'05_INCOME_STATEMENT'!E5*'04_DRIVERS'!$B$27</x:f>
        <x:v>5444.0586</x:v>
      </x:c>
      <x:c r="F22" s="66" t="n">
        <x:f>'05_INCOME_STATEMENT'!F5*'04_DRIVERS'!$B$27</x:f>
        <x:v>5825.142702000001</x:v>
      </x:c>
      <x:c r="G22" s="66" t="n">
        <x:f>'05_INCOME_STATEMENT'!G5*'04_DRIVERS'!$B$27</x:f>
        <x:v>6203.77697763</x:v>
      </x:c>
      <x:c r="H22" s="66" t="n">
        <x:f>'05_INCOME_STATEMENT'!H5*'04_DRIVERS'!$B$27</x:f>
        <x:v>6576.0035962878</x:v>
      </x:c>
      <x:c r="I22" s="66" t="n">
        <x:f>'05_INCOME_STATEMENT'!I5*'04_DRIVERS'!$B$27</x:f>
        <x:v>6937.6837940836285</x:v>
      </x:c>
    </x:row>
    <x:row r="23">
      <x:c r="A23" t="s">
        <x:v>258</x:v>
      </x:c>
      <x:c r="B23" s="77">
        <x:v>2246</x:v>
      </x:c>
      <x:c r="C23" s="77">
        <x:v>2514</x:v>
      </x:c>
      <x:c r="D23" s="77">
        <x:v>2809</x:v>
      </x:c>
      <x:c r="E23" s="66" t="n">
        <x:f>D23*(1+'04_DRIVERS'!$B$31)</x:f>
        <x:v>3005.63</x:v>
      </x:c>
      <x:c r="F23" s="66" t="n">
        <x:f>E23*(1+'04_DRIVERS'!$B$31)</x:f>
        <x:v>3216.0241</x:v>
      </x:c>
      <x:c r="G23" s="66" t="n">
        <x:f>F23*(1+'04_DRIVERS'!$B$31)</x:f>
        <x:v>3441.1457870000004</x:v>
      </x:c>
      <x:c r="H23" s="66" t="n">
        <x:f>G23*(1+'04_DRIVERS'!$B$31)</x:f>
        <x:v>3682.0259920900007</x:v>
      </x:c>
      <x:c r="I23" s="66" t="n">
        <x:f>H23*(1+'04_DRIVERS'!$B$31)</x:f>
        <x:v>3939.767811536301</x:v>
      </x:c>
    </x:row>
    <x:row r="24">
      <x:c r="A24" t="s">
        <x:v>120</x:v>
      </x:c>
      <x:c r="B24" s="77">
        <x:v>7519</x:v>
      </x:c>
      <x:c r="C24" s="77">
        <x:v>8038</x:v>
      </x:c>
      <x:c r="D24" s="77">
        <x:v>9040</x:v>
      </x:c>
      <x:c r="E24" s="66" t="n">
        <x:f>E8*'04_DRIVERS'!$B$32</x:f>
        <x:v>10105.94680127141</x:v>
      </x:c>
      <x:c r="F24" s="66" t="n">
        <x:f>F8*'04_DRIVERS'!$B$32</x:f>
        <x:v>11214.800762293278</x:v>
      </x:c>
      <x:c r="G24" s="66" t="n">
        <x:f>G8*'04_DRIVERS'!$B$32</x:f>
        <x:v>12333.891533075135</x:v>
      </x:c>
      <x:c r="H24" s="66" t="n">
        <x:f>H8*'04_DRIVERS'!$B$32</x:f>
        <x:v>13442.942102714005</x:v>
      </x:c>
      <x:c r="I24" s="66" t="n">
        <x:f>I8*'04_DRIVERS'!$B$32</x:f>
        <x:v>14542.222004082616</x:v>
      </x:c>
    </x:row>
    <x:row r="25">
      <x:c r="A25" t="s">
        <x:v>259</x:v>
      </x:c>
      <x:c r="B25" s="77">
        <x:v>3702</x:v>
      </x:c>
      <x:c r="C25" s="77">
        <x:v>3622</x:v>
      </x:c>
      <x:c r="D25" s="77">
        <x:v>3121</x:v>
      </x:c>
      <x:c r="E25" s="66" t="n">
        <x:f>D25*(1+'04_DRIVERS'!$B$33)</x:f>
        <x:v>3183.42</x:v>
      </x:c>
      <x:c r="F25" s="66" t="n">
        <x:f>E25*(1+'04_DRIVERS'!$B$33)</x:f>
        <x:v>3247.0884</x:v>
      </x:c>
      <x:c r="G25" s="66" t="n">
        <x:f>F25*(1+'04_DRIVERS'!$B$33)</x:f>
        <x:v>3312.0301680000002</x:v>
      </x:c>
      <x:c r="H25" s="66" t="n">
        <x:f>G25*(1+'04_DRIVERS'!$B$33)</x:f>
        <x:v>3378.2707713600003</x:v>
      </x:c>
      <x:c r="I25" s="66" t="n">
        <x:f>H25*(1+'04_DRIVERS'!$B$33)</x:f>
        <x:v>3445.8361867872004</x:v>
      </x:c>
    </x:row>
    <x:row r="26">
      <x:c r="A26" t="s">
        <x:v>260</x:v>
      </x:c>
      <x:c r="B26" s="77">
        <x:v>3818</x:v>
      </x:c>
      <x:c r="C26" s="77">
        <x:v>2731</x:v>
      </x:c>
      <x:c r="D26" s="77">
        <x:v>2177</x:v>
      </x:c>
      <x:c r="E26" s="66" t="n">
        <x:f>'05_INCOME_STATEMENT'!E5*'04_DRIVERS'!$B$34</x:f>
        <x:v>2349.5410800000004</x:v>
      </x:c>
      <x:c r="F26" s="66" t="n">
        <x:f>'05_INCOME_STATEMENT'!F5*'04_DRIVERS'!$B$34</x:f>
        <x:v>2514.0089556000003</x:v>
      </x:c>
      <x:c r="G26" s="66" t="n">
        <x:f>'05_INCOME_STATEMENT'!G5*'04_DRIVERS'!$B$34</x:f>
        <x:v>2677.4195377140004</x:v>
      </x:c>
      <x:c r="H26" s="66" t="n">
        <x:f>'05_INCOME_STATEMENT'!H5*'04_DRIVERS'!$B$34</x:f>
        <x:v>2838.0647099768403</x:v>
      </x:c>
      <x:c r="I26" s="66" t="n">
        <x:f>'05_INCOME_STATEMENT'!I5*'04_DRIVERS'!$B$34</x:f>
        <x:v>2994.1582690255664</x:v>
      </x:c>
      <x:c r="J26" s="20"/>
    </x:row>
    <x:row r="27">
      <x:c r="A27" s="25" t="s">
        <x:v>124</x:v>
      </x:c>
      <x:c r="B27" s="66" t="n">
        <x:f>SUM(B20:B26)</x:f>
        <x:v>68433</x:v>
      </x:c>
      <x:c r="C27" s="66" t="n">
        <x:f t="shared" ref="C27:D27" si="7">SUM(C20:C26)</x:f>
        <x:v>68916</x:v>
      </x:c>
      <x:c r="D27" s="66">
        <x:f t="shared" si="7"/>
        <x:v>68951</x:v>
      </x:c>
      <x:c r="E27" s="66" t="n">
        <x:f>SUM(E21:E26)</x:f>
        <x:v>77729.0273086449</x:v>
      </x:c>
      <x:c r="F27" s="66" t="n">
        <x:f t="shared" ref="F27:I27" si="8">SUM(F21:F26)</x:f>
        <x:v>86869.05378061293</x:v>
      </x:c>
      <x:c r="G27" s="66">
        <x:f t="shared" si="8"/>
        <x:v>96080.111482040738</x:v>
      </x:c>
      <x:c r="H27" s="66">
        <x:f t="shared" si="8"/>
        <x:v>105155.82781470906</x:v>
      </x:c>
      <x:c r="I27" s="66">
        <x:f t="shared" si="8"/>
        <x:v>114095.82534842113</x:v>
      </x:c>
    </x:row>
    <x:row r="28">
      <x:c r="B28" s="66"/>
      <x:c r="C28" s="66"/>
      <x:c r="D28" s="66"/>
      <x:c r="E28" s="66"/>
      <x:c r="F28" s="66"/>
      <x:c r="G28" s="66"/>
      <x:c r="H28" s="66"/>
      <x:c r="I28" s="66"/>
    </x:row>
    <x:row r="29">
      <x:c r="A29" s="25" t="s">
        <x:v>126</x:v>
      </x:c>
      <x:c r="B29" s="66"/>
      <x:c r="C29" s="66"/>
      <x:c r="D29" s="66"/>
      <x:c r="E29" s="66"/>
      <x:c r="F29" s="66"/>
      <x:c r="G29" s="66"/>
      <x:c r="H29" s="66"/>
      <x:c r="I29" s="66"/>
    </x:row>
    <x:row r="30">
      <x:c r="A30" t="s">
        <x:v>261</x:v>
      </x:c>
      <x:c r="B30" s="66"/>
      <x:c r="C30" s="66" t="n">
        <x:f>B34</x:f>
        <x:v>29892</x:v>
      </x:c>
      <x:c r="D30" s="66" t="n">
        <x:f>C34</x:f>
        <x:v>37826</x:v>
      </x:c>
      <x:c r="E30" s="66" t="n">
        <x:f>D34</x:f>
        <x:v>39330</x:v>
      </x:c>
      <x:c r="F30" s="66" t="n">
        <x:f t="shared" ref="F30:I30" si="9">E34</x:f>
        <x:v>41167.966588575</x:v>
      </x:c>
      <x:c r="G30" s="66">
        <x:f t="shared" si="9"/>
        <x:v>43066.05640952829</x:v>
      </x:c>
      <x:c r="H30" s="66">
        <x:f t="shared" si="9"/>
        <x:v>45007.805822219088</x:v>
      </x:c>
      <x:c r="I30" s="66">
        <x:f t="shared" si="9"/>
        <x:v>47012.692456122684</x:v>
      </x:c>
    </x:row>
    <x:row r="31">
      <x:c r="A31" t="s">
        <x:v>251</x:v>
      </x:c>
      <x:c r="B31" s="66"/>
      <x:c r="C31" s="66" t="n">
        <x:f>'05_INCOME_STATEMENT'!C19</x:f>
        <x:v>2829</x:v>
      </x:c>
      <x:c r="D31" s="66" t="n">
        <x:f>'05_INCOME_STATEMENT'!D19</x:f>
        <x:v>3243</x:v>
      </x:c>
      <x:c r="E31" s="66" t="n">
        <x:f>'05_INCOME_STATEMENT'!E19</x:f>
        <x:v>3675.933177150001</x:v>
      </x:c>
      <x:c r="F31" s="66" t="n">
        <x:f>'05_INCOME_STATEMENT'!F19</x:f>
        <x:v>3796.1796419065713</x:v>
      </x:c>
      <x:c r="G31" s="66" t="n">
        <x:f>'05_INCOME_STATEMENT'!G19</x:f>
        <x:v>3883.498825381589</x:v>
      </x:c>
      <x:c r="H31" s="66" t="n">
        <x:f>'05_INCOME_STATEMENT'!H19</x:f>
        <x:v>4009.773267807195</x:v>
      </x:c>
      <x:c r="I31" s="66" t="n">
        <x:f>'05_INCOME_STATEMENT'!I19</x:f>
        <x:v>4132.845954681507</x:v>
      </x:c>
    </x:row>
    <x:row r="32">
      <x:c r="A32" t="s">
        <x:v>262</x:v>
      </x:c>
      <x:c r="B32" s="66"/>
      <x:c r="C32" s="66" t="n">
        <x:f>-1529</x:f>
        <x:v>-1529</x:v>
      </x:c>
      <x:c r="D32" s="66" t="n">
        <x:f>-1623</x:f>
        <x:v>-1623</x:v>
      </x:c>
      <x:c r="E32" s="66" t="n">
        <x:f>-E31*'04_DRIVERS'!$B$35</x:f>
        <x:v>-1837.9665885750005</x:v>
      </x:c>
      <x:c r="F32" s="66" t="n">
        <x:f>-F31*'04_DRIVERS'!$B$35</x:f>
        <x:v>-1898.0898209532857</x:v>
      </x:c>
      <x:c r="G32" s="66" t="n">
        <x:f>-G31*'04_DRIVERS'!$B$35</x:f>
        <x:v>-1941.7494126907945</x:v>
      </x:c>
      <x:c r="H32" s="66" t="n">
        <x:f>-H31*'04_DRIVERS'!$B$35</x:f>
        <x:v>-2004.8866339035976</x:v>
      </x:c>
      <x:c r="I32" s="66" t="n">
        <x:f>-I31*'04_DRIVERS'!$B$35</x:f>
        <x:v>-2066.4229773407533</x:v>
      </x:c>
    </x:row>
    <x:row r="33">
      <x:c r="A33" t="s">
        <x:v>263</x:v>
      </x:c>
      <x:c r="B33" s="66"/>
      <x:c r="C33" s="66" t="n">
        <x:f>C34-C30-C31-C32</x:f>
        <x:v>6634</x:v>
      </x:c>
      <x:c r="D33" s="66" t="n">
        <x:f>D34-D30-D31-D32</x:f>
        <x:v>-116</x:v>
      </x:c>
      <x:c r="E33" s="66" t="n">
        <x:f>0</x:f>
        <x:v>0</x:v>
      </x:c>
      <x:c r="F33" s="66" t="n">
        <x:f>0</x:f>
        <x:v>0</x:v>
      </x:c>
      <x:c r="G33" s="66" t="n">
        <x:f>0</x:f>
        <x:v>0</x:v>
      </x:c>
      <x:c r="H33" s="66" t="n">
        <x:f>0</x:f>
        <x:v>0</x:v>
      </x:c>
      <x:c r="I33" s="66" t="n">
        <x:f>0</x:f>
        <x:v>0</x:v>
      </x:c>
    </x:row>
    <x:row r="34">
      <x:c r="A34" t="s">
        <x:v>264</x:v>
      </x:c>
      <x:c r="B34" s="77" t="n">
        <x:f>29892</x:f>
        <x:v>29892</x:v>
      </x:c>
      <x:c r="C34" s="66" t="n">
        <x:f>37826</x:f>
        <x:v>37826</x:v>
      </x:c>
      <x:c r="D34" s="66">
        <x:v>39330</x:v>
      </x:c>
      <x:c r="E34" s="66" t="n">
        <x:f>SUM(E30:E33)</x:f>
        <x:v>41167.966588575</x:v>
      </x:c>
      <x:c r="F34" s="66" t="n">
        <x:f t="shared" ref="F34:I34" si="10">SUM(F30:F33)</x:f>
        <x:v>43066.05640952829</x:v>
      </x:c>
      <x:c r="G34" s="66">
        <x:f t="shared" si="10"/>
        <x:v>45007.805822219088</x:v>
      </x:c>
      <x:c r="H34" s="66">
        <x:f t="shared" si="10"/>
        <x:v>47012.692456122684</x:v>
      </x:c>
      <x:c r="I34" s="66">
        <x:f t="shared" si="10"/>
        <x:v>49079.115433463434</x:v>
      </x:c>
    </x:row>
    <x:row r="35">
      <x:c r="B35" s="66"/>
      <x:c r="C35" s="66"/>
      <x:c r="D35" s="66"/>
      <x:c r="E35" s="66"/>
      <x:c r="F35" s="66"/>
      <x:c r="G35" s="66"/>
      <x:c r="H35" s="66"/>
      <x:c r="I35" s="66"/>
    </x:row>
    <x:row r="36">
      <x:c r="A36" s="25" t="s">
        <x:v>265</x:v>
      </x:c>
      <x:c r="B36" s="73" t="n">
        <x:f>B27+B34</x:f>
        <x:v>98325</x:v>
      </x:c>
      <x:c r="C36" s="73" t="n">
        <x:f t="shared" ref="C36:D36" si="11">C27+C34</x:f>
        <x:v>106742</x:v>
      </x:c>
      <x:c r="D36" s="73">
        <x:f t="shared" si="11"/>
        <x:v>108281</x:v>
      </x:c>
      <x:c r="E36" s="73" t="n">
        <x:f>E27+E34</x:f>
        <x:v>118896.9938972199</x:v>
      </x:c>
      <x:c r="F36" s="73" t="n">
        <x:f t="shared" ref="F36:I36" si="12">F27+F34</x:f>
        <x:v>129935.11019014122</x:v>
      </x:c>
      <x:c r="G36" s="73">
        <x:f t="shared" si="12"/>
        <x:v>141087.91730425984</x:v>
      </x:c>
      <x:c r="H36" s="73">
        <x:f t="shared" si="12"/>
        <x:v>152168.52027083174</x:v>
      </x:c>
      <x:c r="I36" s="73">
        <x:f t="shared" si="12"/>
        <x:v>163174.94078188456</x:v>
      </x:c>
    </x:row>
    <x:row r="37">
      <x:c r="B37" s="66"/>
      <x:c r="C37" s="66"/>
      <x:c r="D37" s="66"/>
      <x:c r="E37" s="66"/>
      <x:c r="F37" s="66"/>
      <x:c r="G37" s="66"/>
      <x:c r="H37" s="66"/>
      <x:c r="I37" s="66"/>
    </x:row>
    <x:row r="38">
      <x:c r="A38" s="25" t="s">
        <x:v>266</x:v>
      </x:c>
      <x:c r="B38" s="73" t="n">
        <x:f>B18-B36</x:f>
        <x:v>0</x:v>
      </x:c>
      <x:c r="C38" s="73" t="n">
        <x:f t="shared" ref="C38:I38" si="13">C18-C36</x:f>
        <x:v>0</x:v>
      </x:c>
      <x:c r="D38" s="73">
        <x:f t="shared" si="13"/>
        <x:v>0</x:v>
      </x:c>
      <x:c r="E38" s="73">
        <x:f t="shared" si="13"/>
        <x:v>0</x:v>
      </x:c>
      <x:c r="F38" s="73">
        <x:f t="shared" si="13"/>
        <x:v>0</x:v>
      </x:c>
      <x:c r="G38" s="73">
        <x:f t="shared" si="13"/>
        <x:v>0</x:v>
      </x:c>
      <x:c r="H38" s="73">
        <x:f t="shared" si="13"/>
        <x:v>0</x:v>
      </x:c>
      <x:c r="I38" s="73">
        <x:f t="shared" si="13"/>
        <x:v>0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6"/>
  <x:cols>
    <x:col min="1" max="1" width="40.6640625" customWidth="1"/>
  </x:cols>
  <x:sheetData>
    <x:row r="1">
      <x:c r="A1" s="15" t="s">
        <x:v>267</x:v>
      </x:c>
      <x:c r="B1" s="15"/>
      <x:c r="C1" s="15"/>
      <x:c r="D1" s="15"/>
      <x:c r="E1" s="15"/>
      <x:c r="F1" s="15"/>
      <x:c r="G1" s="15"/>
      <x:c r="H1" s="15"/>
      <x:c r="I1" s="15"/>
    </x:row>
    <x:row r="3">
      <x:c r="A3" s="21" t="s">
        <x:v>268</x:v>
      </x:c>
      <x:c r="B3" s="25" t="s">
        <x:v>66</x:v>
      </x:c>
      <x:c r="C3" s="25" t="s">
        <x:v>67</x:v>
      </x:c>
      <x:c r="D3" s="25" t="s">
        <x:v>68</x:v>
      </x:c>
      <x:c r="E3" s="25" t="s">
        <x:v>209</x:v>
      </x:c>
      <x:c r="F3" s="25" t="s">
        <x:v>210</x:v>
      </x:c>
      <x:c r="G3" s="25" t="s">
        <x:v>211</x:v>
      </x:c>
      <x:c r="H3" s="25" t="s">
        <x:v>212</x:v>
      </x:c>
      <x:c r="I3" s="25" t="s">
        <x:v>213</x:v>
      </x:c>
    </x:row>
    <x:row r="4">
      <x:c r="A4" t="s">
        <x:v>73</x:v>
      </x:c>
      <x:c r="B4" s="80">
        <x:v>4475</x:v>
      </x:c>
      <x:c r="C4" s="80">
        <x:v>4934</x:v>
      </x:c>
      <x:c r="D4" s="80">
        <x:v>5431</x:v>
      </x:c>
      <x:c r="E4" s="66" t="n">
        <x:f>'05_INCOME_STATEMENT'!E8</x:f>
        <x:v>6074.423280000001</x:v>
      </x:c>
      <x:c r="F4" s="66" t="n">
        <x:f>'05_INCOME_STATEMENT'!F8</x:f>
        <x:v>6540.511104000001</x:v>
      </x:c>
      <x:c r="G4" s="66" t="n">
        <x:f>'05_INCOME_STATEMENT'!G8</x:f>
        <x:v>6987.4119642780015</x:v>
      </x:c>
      <x:c r="H4" s="66" t="n">
        <x:f>'05_INCOME_STATEMENT'!H8</x:f>
        <x:v>7429.730378963761</x:v>
      </x:c>
      <x:c r="I4" s="66" t="n">
        <x:f>'05_INCOME_STATEMENT'!I8</x:f>
        <x:v>7862.708299961447</x:v>
      </x:c>
    </x:row>
    <x:row r="5">
      <x:c r="A5" t="s">
        <x:v>269</x:v>
      </x:c>
      <x:c r="B5" s="80">
        <x:v>2061</x:v>
      </x:c>
      <x:c r="C5" s="80">
        <x:v>2175</x:v>
      </x:c>
      <x:c r="D5" s="80">
        <x:v>2247</x:v>
      </x:c>
      <x:c r="E5" s="66" t="n">
        <x:f>'08_CAPEX_PPE'!C7+'06_BALANCE_SHEET'!D7*'04_DRIVERS'!$B$38</x:f>
        <x:v>2459.964222780095</x:v>
      </x:c>
      <x:c r="F5" s="66" t="n">
        <x:f>'08_CAPEX_PPE'!D7+'06_BALANCE_SHEET'!E7*'04_DRIVERS'!$B$38</x:f>
        <x:v>2729.2311754786733</x:v>
      </x:c>
      <x:c r="G5" s="66" t="n">
        <x:f>'08_CAPEX_PPE'!E7+'06_BALANCE_SHEET'!F7*'04_DRIVERS'!$B$38</x:f>
        <x:v>3011.662989127402</x:v>
      </x:c>
      <x:c r="H5" s="66" t="n">
        <x:f>'08_CAPEX_PPE'!F7+'06_BALANCE_SHEET'!G7*'04_DRIVERS'!$B$38</x:f>
        <x:v>3297.2833429268426</x:v>
      </x:c>
      <x:c r="I5" s="66" t="n">
        <x:f>'08_CAPEX_PPE'!G7+'06_BALANCE_SHEET'!H7*'04_DRIVERS'!$B$38</x:f>
        <x:v>3581.223877210138</x:v>
      </x:c>
    </x:row>
    <x:row r="6">
      <x:c r="A6" t="s">
        <x:v>270</x:v>
      </x:c>
      <x:c r="B6" s="80">
        <x:v>-49</x:v>
      </x:c>
      <x:c r="C6" s="80">
        <x:v>104</x:v>
      </x:c>
      <x:c r="D6" s="80">
        <x:v>759</x:v>
      </x:c>
      <x:c r="E6" s="66" t="n">
        <x:f>-('06_BALANCE_SHEET'!E12-'06_BALANCE_SHEET'!D12)-('06_BALANCE_SHEET'!E13-'06_BALANCE_SHEET'!D13)+('06_BALANCE_SHEET'!E22-'06_BALANCE_SHEET'!D22)+('06_BALANCE_SHEET'!E23-'06_BALANCE_SHEET'!D23)</x:f>
        <x:v>299.50448000000017</x:v>
      </x:c>
      <x:c r="F6" s="66" t="n">
        <x:f>-('06_BALANCE_SHEET'!F12-'06_BALANCE_SHEET'!E12)-('06_BALANCE_SHEET'!F13-'06_BALANCE_SHEET'!E13)+('06_BALANCE_SHEET'!F22-'06_BALANCE_SHEET'!E22)+('06_BALANCE_SHEET'!F23-'06_BALANCE_SHEET'!E23)</x:f>
        <x:v>261.20531359999995</x:v>
      </x:c>
      <x:c r="G6" s="66" t="n">
        <x:f>-('06_BALANCE_SHEET'!G12-'06_BALANCE_SHEET'!F12)-('06_BALANCE_SHEET'!G13-'06_BALANCE_SHEET'!F13)+('06_BALANCE_SHEET'!G22-'06_BALANCE_SHEET'!F22)+('06_BALANCE_SHEET'!G23-'06_BALANCE_SHEET'!F23)</x:f>
        <x:v>275.6062570839996</x:v>
      </x:c>
      <x:c r="H6" s="66" t="n">
        <x:f>-('06_BALANCE_SHEET'!H12-'06_BALANCE_SHEET'!G12)-('06_BALANCE_SHEET'!H13-'06_BALANCE_SHEET'!G13)+('06_BALANCE_SHEET'!H22-'06_BALANCE_SHEET'!G22)+('06_BALANCE_SHEET'!H23-'06_BALANCE_SHEET'!G23)</x:f>
        <x:v>290.51042091104034</x:v>
      </x:c>
      <x:c r="I6" s="66" t="n">
        <x:f>-('06_BALANCE_SHEET'!I12-'06_BALANCE_SHEET'!H12)-('06_BALANCE_SHEET'!I13-'06_BALANCE_SHEET'!H13)+('06_BALANCE_SHEET'!I22-'06_BALANCE_SHEET'!H22)+('06_BALANCE_SHEET'!I23-'06_BALANCE_SHEET'!H23)</x:f>
        <x:v>305.9658458190776</x:v>
      </x:c>
    </x:row>
    <x:row r="7">
      <x:c r="A7" t="s">
        <x:v>271</x:v>
      </x:c>
      <x:c r="B7" s="80">
        <x:v>-123</x:v>
      </x:c>
      <x:c r="C7" s="80">
        <x:v>-80</x:v>
      </x:c>
      <x:c r="D7" s="80">
        <x:v>-158</x:v>
      </x:c>
      <x:c r="E7" s="66" t="n">
        <x:f>'06_BALANCE_SHEET'!E25-'06_BALANCE_SHEET'!D25</x:f>
        <x:v>62.42000000000007</x:v>
      </x:c>
      <x:c r="F7" s="66" t="n">
        <x:f>'06_BALANCE_SHEET'!F25-'06_BALANCE_SHEET'!E25</x:f>
        <x:v>63.66840000000002</x:v>
      </x:c>
      <x:c r="G7" s="66" t="n">
        <x:f>'06_BALANCE_SHEET'!G25-'06_BALANCE_SHEET'!F25</x:f>
        <x:v>64.94176800000014</x:v>
      </x:c>
      <x:c r="H7" s="66" t="n">
        <x:f>'06_BALANCE_SHEET'!H25-'06_BALANCE_SHEET'!G25</x:f>
        <x:v>66.24060336000002</x:v>
      </x:c>
      <x:c r="I7" s="66" t="n">
        <x:f>'06_BALANCE_SHEET'!I25-'06_BALANCE_SHEET'!H25</x:f>
        <x:v>67.56541542720015</x:v>
      </x:c>
    </x:row>
    <x:row r="8">
      <x:c r="A8" t="s">
        <x:v>272</x:v>
      </x:c>
      <x:c r="B8" s="80">
        <x:v>917</x:v>
      </x:c>
      <x:c r="C8" s="80">
        <x:v>-142</x:v>
      </x:c>
      <x:c r="D8" s="80">
        <x:v>-418</x:v>
      </x:c>
      <x:c r="E8" s="66" t="n">
        <x:f>'05_INCOME_STATEMENT'!E11+'05_INCOME_STATEMENT'!E13+('06_BALANCE_SHEET'!E24-'06_BALANCE_SHEET'!D24)+('06_BALANCE_SHEET'!E26-'06_BALANCE_SHEET'!D26)</x:f>
        <x:v>1696.76788127141</x:v>
      </x:c>
      <x:c r="F8" s="66" t="n">
        <x:f>'05_INCOME_STATEMENT'!F11+'05_INCOME_STATEMENT'!F13+('06_BALANCE_SHEET'!F24-'06_BALANCE_SHEET'!E24)+('06_BALANCE_SHEET'!F26-'06_BALANCE_SHEET'!E26)</x:f>
        <x:v>1733.9502366218685</x:v>
      </x:c>
      <x:c r="G8" s="66" t="n">
        <x:f>'05_INCOME_STATEMENT'!G11+'05_INCOME_STATEMENT'!G13+('06_BALANCE_SHEET'!G24-'06_BALANCE_SHEET'!F24)+('06_BALANCE_SHEET'!G26-'06_BALANCE_SHEET'!F26)</x:f>
        <x:v>1745.5486048958571</x:v>
      </x:c>
      <x:c r="H8" s="66" t="n">
        <x:f>'05_INCOME_STATEMENT'!H11+'05_INCOME_STATEMENT'!H13+('06_BALANCE_SHEET'!H24-'06_BALANCE_SHEET'!G24)+('06_BALANCE_SHEET'!H26-'06_BALANCE_SHEET'!G26)</x:f>
        <x:v>1735.23441146171</x:v>
      </x:c>
      <x:c r="I8" s="66" t="n">
        <x:f>'05_INCOME_STATEMENT'!I11+'05_INCOME_STATEMENT'!I13+('06_BALANCE_SHEET'!I24-'06_BALANCE_SHEET'!H24)+('06_BALANCE_SHEET'!I26-'06_BALANCE_SHEET'!H26)</x:f>
        <x:v>1723.478290064137</x:v>
      </x:c>
    </x:row>
    <x:row r="9">
      <x:c r="A9" s="21" t="s">
        <x:v>146</x:v>
      </x:c>
      <x:c r="B9" s="81">
        <x:v>7281</x:v>
      </x:c>
      <x:c r="C9" s="81">
        <x:v>6991</x:v>
      </x:c>
      <x:c r="D9" s="81">
        <x:v>7861</x:v>
      </x:c>
      <x:c r="E9" s="66" t="n">
        <x:f>SUM(E4:E8)</x:f>
        <x:v>10593.079864051506</x:v>
      </x:c>
      <x:c r="F9" s="66" t="n">
        <x:f t="shared" ref="F9:I9" si="0">SUM(F4:F8)</x:f>
        <x:v>11328.566229700544</x:v>
      </x:c>
      <x:c r="G9" s="66">
        <x:f t="shared" si="0"/>
        <x:v>12085.171583385261</x:v>
      </x:c>
      <x:c r="H9" s="66">
        <x:f t="shared" si="0"/>
        <x:v>12818.999157623353</x:v>
      </x:c>
      <x:c r="I9" s="66">
        <x:f t="shared" si="0"/>
        <x:v>13540.941728481997</x:v>
      </x:c>
    </x:row>
    <x:row r="10">
      <x:c r="A10" t="s">
        <x:v>147</x:v>
      </x:c>
      <x:c r="B10" s="80">
        <x:v>-342</x:v>
      </x:c>
      <x:c r="C10" s="80">
        <x:v>-183</x:v>
      </x:c>
      <x:c r="D10" s="80">
        <x:v>-32</x:v>
      </x:c>
      <x:c r="E10" s="66" t="n">
        <x:f>'05_INCOME_STATEMENT'!E17</x:f>
        <x:v>-1036.8016653500001</x:v>
      </x:c>
      <x:c r="F10" s="66" t="n">
        <x:f>'05_INCOME_STATEMENT'!F17</x:f>
        <x:v>-1070.7173348967253</x:v>
      </x:c>
      <x:c r="G10" s="66" t="n">
        <x:f>'05_INCOME_STATEMENT'!G17</x:f>
        <x:v>-1095.3458225435252</x:v>
      </x:c>
      <x:c r="H10" s="66" t="n">
        <x:f>'05_INCOME_STATEMENT'!H17</x:f>
        <x:v>-1130.9616909199783</x:v>
      </x:c>
      <x:c r="I10" s="66" t="n">
        <x:f>'05_INCOME_STATEMENT'!I17</x:f>
        <x:v>-1165.6745000383737</x:v>
      </x:c>
    </x:row>
    <x:row r="11">
      <x:c r="A11" s="21" t="s">
        <x:v>273</x:v>
      </x:c>
      <x:c r="B11" s="81">
        <x:v>6939</x:v>
      </x:c>
      <x:c r="C11" s="81">
        <x:v>6808</x:v>
      </x:c>
      <x:c r="D11" s="81">
        <x:v>7829</x:v>
      </x:c>
      <x:c r="E11" s="66" t="n">
        <x:f>E9+E10</x:f>
        <x:v>9556.278198701506</x:v>
      </x:c>
      <x:c r="F11" s="66" t="n">
        <x:f t="shared" ref="F11:I11" si="1">F9+F10</x:f>
        <x:v>10257.848894803818</x:v>
      </x:c>
      <x:c r="G11" s="66">
        <x:f t="shared" si="1"/>
        <x:v>10989.825760841737</x:v>
      </x:c>
      <x:c r="H11" s="66">
        <x:f t="shared" si="1"/>
        <x:v>11688.037466703376</x:v>
      </x:c>
      <x:c r="I11" s="66">
        <x:f t="shared" si="1"/>
        <x:v>12375.267228443623</x:v>
      </x:c>
    </x:row>
    <x:row r="12">
      <x:c r="A12" t="s">
        <x:v>150</x:v>
      </x:c>
      <x:c r="B12" s="80">
        <x:v>-549</x:v>
      </x:c>
      <x:c r="C12" s="80">
        <x:v>-526</x:v>
      </x:c>
      <x:c r="D12" s="80">
        <x:v>-586</x:v>
      </x:c>
      <x:c r="E12" s="66" t="n">
        <x:f>-(('06_BALANCE_SHEET'!E7-'06_BALANCE_SHEET'!D7)+('06_BALANCE_SHEET'!D7*'04_DRIVERS'!$B$38))</x:f>
        <x:v>-465.4800000000003</x:v>
      </x:c>
      <x:c r="F12" s="66" t="n">
        <x:f>-(('06_BALANCE_SHEET'!F7-'06_BALANCE_SHEET'!E7)+('06_BALANCE_SHEET'!E7*'04_DRIVERS'!$B$38))</x:f>
        <x:v>-488.75400000000053</x:v>
      </x:c>
      <x:c r="G12" s="66" t="n">
        <x:f>-(('06_BALANCE_SHEET'!G7-'06_BALANCE_SHEET'!F7)+('06_BALANCE_SHEET'!F7*'04_DRIVERS'!$B$38))</x:f>
        <x:v>-513.1917000000004</x:v>
      </x:c>
      <x:c r="H12" s="66" t="n">
        <x:f>-(('06_BALANCE_SHEET'!H7-'06_BALANCE_SHEET'!G7)+('06_BALANCE_SHEET'!G7*'04_DRIVERS'!$B$38))</x:f>
        <x:v>-538.8512850000001</x:v>
      </x:c>
      <x:c r="I12" s="66" t="n">
        <x:f>-(('06_BALANCE_SHEET'!I7-'06_BALANCE_SHEET'!H7)+('06_BALANCE_SHEET'!H7*'04_DRIVERS'!$B$38))</x:f>
        <x:v>-565.7938492500007</x:v>
      </x:c>
    </x:row>
    <x:row r="13">
      <x:c r="A13" t="s">
        <x:v>274</x:v>
      </x:c>
      <x:c r="B13" s="80">
        <x:v>-6904</x:v>
      </x:c>
      <x:c r="C13" s="80">
        <x:v>-8780</x:v>
      </x:c>
      <x:c r="D13" s="80">
        <x:v>-9989</x:v>
      </x:c>
      <x:c r="E13" s="66" t="n">
        <x:f>-'08_CAPEX_PPE'!C6</x:f>
        <x:v>-11712.999999999998</x:v>
      </x:c>
      <x:c r="F13" s="66" t="n">
        <x:f>-'08_CAPEX_PPE'!D6</x:f>
        <x:v>-12433.8</x:v>
      </x:c>
      <x:c r="G13" s="66" t="n">
        <x:f>-'08_CAPEX_PPE'!E6</x:f>
        <x:v>-12794.199999999999</x:v>
      </x:c>
      <x:c r="H13" s="66" t="n">
        <x:f>-'08_CAPEX_PPE'!F6</x:f>
        <x:v>-12974.4</x:v>
      </x:c>
      <x:c r="I13" s="66" t="n">
        <x:f>-'08_CAPEX_PPE'!G6</x:f>
        <x:v>-13154.599999999999</x:v>
      </x:c>
    </x:row>
    <x:row r="14">
      <x:c r="A14" t="s">
        <x:v>275</x:v>
      </x:c>
      <x:c r="B14" s="80">
        <x:v>-148</x:v>
      </x:c>
      <x:c r="C14" s="80">
        <x:v>-1287</x:v>
      </x:c>
      <x:c r="D14" s="80">
        <x:v>6418</x:v>
      </x:c>
      <x:c r="E14" s="66" t="n">
        <x:f>-('06_BALANCE_SHEET'!E9-'06_BALANCE_SHEET'!D9)-('06_BALANCE_SHEET'!E15-'06_BALANCE_SHEET'!D15)</x:f>
        <x:v>-480.2940000000003</x:v>
      </x:c>
      <x:c r="F14" s="66" t="n">
        <x:f>-('06_BALANCE_SHEET'!F9-'06_BALANCE_SHEET'!E9)-('06_BALANCE_SHEET'!F15-'06_BALANCE_SHEET'!E15)</x:f>
        <x:v>-514.5205800000008</x:v>
      </x:c>
      <x:c r="G14" s="66" t="n">
        <x:f>-('06_BALANCE_SHEET'!G9-'06_BALANCE_SHEET'!F9)-('06_BALANCE_SHEET'!G15-'06_BALANCE_SHEET'!F15)</x:f>
        <x:v>-528.9286977000002</x:v>
      </x:c>
      <x:c r="H14" s="66" t="n">
        <x:f>-('06_BALANCE_SHEET'!H9-'06_BALANCE_SHEET'!G9)-('06_BALANCE_SHEET'!H15-'06_BALANCE_SHEET'!G15)</x:f>
        <x:v>-542.0386216620004</x:v>
      </x:c>
      <x:c r="I14" s="66" t="n">
        <x:f>-('06_BALANCE_SHEET'!I9-'06_BALANCE_SHEET'!H9)-('06_BALANCE_SHEET'!I15-'06_BALANCE_SHEET'!H15)</x:f>
        <x:v>-553.7943675899105</x:v>
      </x:c>
    </x:row>
    <x:row r="15">
      <x:c r="A15" s="21" t="s">
        <x:v>276</x:v>
      </x:c>
      <x:c r="B15" s="81">
        <x:v>-7601</x:v>
      </x:c>
      <x:c r="C15" s="81">
        <x:v>-10593</x:v>
      </x:c>
      <x:c r="D15" s="81">
        <x:v>-4157</x:v>
      </x:c>
      <x:c r="E15" s="66" t="n">
        <x:f>SUM(E12:E14)</x:f>
        <x:v>-12658.773999999998</x:v>
      </x:c>
      <x:c r="F15" s="66" t="n">
        <x:f t="shared" ref="F15:I15" si="2">SUM(F12:F14)</x:f>
        <x:v>-13437.07458</x:v>
      </x:c>
      <x:c r="G15" s="66">
        <x:f t="shared" si="2"/>
        <x:v>-13836.320397700001</x:v>
      </x:c>
      <x:c r="H15" s="66">
        <x:f t="shared" si="2"/>
        <x:v>-14055.289906662001</x:v>
      </x:c>
      <x:c r="I15" s="66">
        <x:f t="shared" si="2"/>
        <x:v>-14274.18821683991</x:v>
      </x:c>
    </x:row>
    <x:row r="16">
      <x:c r="A16" t="s">
        <x:v>277</x:v>
      </x:c>
      <x:c r="B16" s="80">
        <x:v>5563</x:v>
      </x:c>
      <x:c r="C16" s="80">
        <x:v>3237</x:v>
      </x:c>
      <x:c r="D16" s="80">
        <x:v>4172</x:v>
      </x:c>
      <x:c r="E16" s="66" t="n">
        <x:f>'09_DEBT'!C6</x:f>
        <x:v>5200</x:v>
      </x:c>
      <x:c r="F16" s="66" t="n">
        <x:f>'09_DEBT'!D6</x:f>
        <x:v>5520</x:v>
      </x:c>
      <x:c r="G16" s="66" t="n">
        <x:f>'09_DEBT'!E6</x:f>
        <x:v>5680</x:v>
      </x:c>
      <x:c r="H16" s="66" t="n">
        <x:f>'09_DEBT'!F6</x:f>
        <x:v>5760</x:v>
      </x:c>
      <x:c r="I16" s="66" t="n">
        <x:f>'09_DEBT'!G6</x:f>
        <x:v>5840</x:v>
      </x:c>
    </x:row>
    <x:row r="17">
      <x:c r="A17" t="s">
        <x:v>278</x:v>
      </x:c>
      <x:c r="B17" s="80" t="s">
        <x:v>279</x:v>
      </x:c>
      <x:c r="C17" s="80" t="s">
        <x:v>279</x:v>
      </x:c>
      <x:c r="D17" s="80" t="s">
        <x:v>279</x:v>
      </x:c>
      <x:c r="E17" s="66" t="n">
        <x:f>MAX(0,'04_DRIVERS'!$B$37-(E23+E11+E15+E16+E18+E19+E20+E21+E25))</x:f>
        <x:v>4607.618327373491</x:v>
      </x:c>
      <x:c r="F17" s="66" t="n">
        <x:f>MAX(0,'04_DRIVERS'!$B$37-(F23+F11+F15+F16+F18+F19+F20+F21+F25))</x:f>
        <x:v>5044.084960057016</x:v>
      </x:c>
      <x:c r="G17" s="66" t="n">
        <x:f>MAX(0,'04_DRIVERS'!$B$37-(G23+G11+G15+G16+G18+G19+G20+G21+G25))</x:f>
        <x:v>5383.107921696925</x:v>
      </x:c>
      <x:c r="H17" s="66" t="n">
        <x:f>MAX(0,'04_DRIVERS'!$B$37-(H23+H11+H15+H16+H18+H19+H20+H21+H25))</x:f>
        <x:v>5623.663631072661</x:v>
      </x:c>
      <x:c r="I17" s="66" t="n">
        <x:f>MAX(0,'04_DRIVERS'!$B$37-(I23+I11+I15+I16+I18+I19+I20+I21+I25))</x:f>
        <x:v>5860.044180767933</x:v>
      </x:c>
    </x:row>
    <x:row r="18">
      <x:c r="A18" t="s">
        <x:v>280</x:v>
      </x:c>
      <x:c r="B18" s="80">
        <x:v>-1701</x:v>
      </x:c>
      <x:c r="C18" s="80">
        <x:v>-2861</x:v>
      </x:c>
      <x:c r="D18" s="80">
        <x:v>-2961</x:v>
      </x:c>
      <x:c r="E18" s="66" t="n">
        <x:f>-'09_DEBT'!C7</x:f>
        <x:v>-2922.1875</x:v>
      </x:c>
      <x:c r="F18" s="66" t="n">
        <x:f>-'09_DEBT'!D7</x:f>
        <x:v>-3352.5269267108433</x:v>
      </x:c>
      <x:c r="G18" s="66" t="n">
        <x:f>-'09_DEBT'!E7</x:f>
        <x:v>-3803.249303794979</x:v>
      </x:c>
      <x:c r="H18" s="66" t="n">
        <x:f>-'09_DEBT'!F7</x:f>
        <x:v>-4256.990467413851</x:v>
      </x:c>
      <x:c r="I18" s="66" t="n">
        <x:f>-'09_DEBT'!G7</x:f>
        <x:v>-4702.407540142526</x:v>
      </x:c>
    </x:row>
    <x:row r="19">
      <x:c r="A19" t="s">
        <x:v>175</x:v>
      </x:c>
      <x:c r="B19" s="80">
        <x:v>-1627</x:v>
      </x:c>
      <x:c r="C19" s="80">
        <x:v>-1920</x:v>
      </x:c>
      <x:c r="D19" s="80">
        <x:v>-1932</x:v>
      </x:c>
      <x:c r="E19" s="66" t="n">
        <x:f>-'09_DEBT'!C13</x:f>
        <x:v>-1819.9684375</x:v>
      </x:c>
      <x:c r="F19" s="66" t="n">
        <x:f>-'09_DEBT'!D13</x:f>
        <x:v>-2134.2425271967045</x:v>
      </x:c>
      <x:c r="G19" s="66" t="n">
        <x:f>-'09_DEBT'!E13</x:f>
        <x:v>-2471.614568352887</x:v>
      </x:c>
      <x:c r="H19" s="66" t="n">
        <x:f>-'09_DEBT'!F13</x:f>
        <x:v>-2754.5340897965875</x:v>
      </x:c>
      <x:c r="I19" s="66" t="n">
        <x:f>-'09_DEBT'!G13</x:f>
        <x:v>-3032.2926748883665</x:v>
      </x:c>
    </x:row>
    <x:row r="20">
      <x:c r="A20" t="s">
        <x:v>281</x:v>
      </x:c>
      <x:c r="B20" s="80">
        <x:v>-1718</x:v>
      </x:c>
      <x:c r="C20" s="80">
        <x:v>-1529</x:v>
      </x:c>
      <x:c r="D20" s="80">
        <x:v>-1623</x:v>
      </x:c>
      <x:c r="E20" s="66" t="n">
        <x:f>'06_BALANCE_SHEET'!E32</x:f>
        <x:v>-1837.9665885750005</x:v>
      </x:c>
      <x:c r="F20" s="66" t="n">
        <x:f>'06_BALANCE_SHEET'!F32</x:f>
        <x:v>-1898.0898209532857</x:v>
      </x:c>
      <x:c r="G20" s="66" t="n">
        <x:f>'06_BALANCE_SHEET'!G32</x:f>
        <x:v>-1941.7494126907945</x:v>
      </x:c>
      <x:c r="H20" s="66" t="n">
        <x:f>'06_BALANCE_SHEET'!H32</x:f>
        <x:v>-2004.8866339035976</x:v>
      </x:c>
      <x:c r="I20" s="66" t="n">
        <x:f>'06_BALANCE_SHEET'!I32</x:f>
        <x:v>-2066.4229773407533</x:v>
      </x:c>
    </x:row>
    <x:row r="21">
      <x:c r="A21" t="s">
        <x:v>282</x:v>
      </x:c>
      <x:c r="B21" s="80">
        <x:v>470</x:v>
      </x:c>
      <x:c r="C21" s="80">
        <x:v>7601</x:v>
      </x:c>
      <x:c r="D21" s="80">
        <x:v>-2276</x:v>
      </x:c>
      <x:c r="E21" s="66" t="n">
        <x:f>0</x:f>
        <x:v>0</x:v>
      </x:c>
      <x:c r="F21" s="66" t="n">
        <x:f>0</x:f>
        <x:v>0</x:v>
      </x:c>
      <x:c r="G21" s="66" t="n">
        <x:f>0</x:f>
        <x:v>0</x:v>
      </x:c>
      <x:c r="H21" s="66" t="n">
        <x:f>0</x:f>
        <x:v>0</x:v>
      </x:c>
      <x:c r="I21" s="66" t="n">
        <x:f>0</x:f>
        <x:v>0</x:v>
      </x:c>
    </x:row>
    <x:row r="22">
      <x:c r="A22" s="21" t="s">
        <x:v>283</x:v>
      </x:c>
      <x:c r="B22" s="81">
        <x:v>987</x:v>
      </x:c>
      <x:c r="C22" s="81">
        <x:v>4528</x:v>
      </x:c>
      <x:c r="D22" s="81">
        <x:v>-4620</x:v>
      </x:c>
      <x:c r="E22" s="66" t="n">
        <x:f>SUM(E16:E21)</x:f>
        <x:v>3227.495801298491</x:v>
      </x:c>
      <x:c r="F22" s="66" t="n">
        <x:f t="shared" ref="F22:I22" si="3">SUM(F16:F21)</x:f>
        <x:v>3179.2256851961833</x:v>
      </x:c>
      <x:c r="G22" s="66">
        <x:f t="shared" si="3"/>
        <x:v>2846.4946368582646</x:v>
      </x:c>
      <x:c r="H22" s="66">
        <x:f t="shared" si="3"/>
        <x:v>2367.2524399586255</x:v>
      </x:c>
      <x:c r="I22" s="66">
        <x:f t="shared" si="3"/>
        <x:v>1898.9209883962867</x:v>
      </x:c>
    </x:row>
    <x:row r="23">
      <x:c r="A23" t="s">
        <x:v>284</x:v>
      </x:c>
      <x:c r="B23" s="80">
        <x:v>163</x:v>
      </x:c>
      <x:c r="C23" s="80">
        <x:v>559</x:v>
      </x:c>
      <x:c r="D23" s="80">
        <x:v>1178</x:v>
      </x:c>
      <x:c r="E23" s="66" t="n">
        <x:f>D26</x:f>
        <x:v>375</x:v>
      </x:c>
      <x:c r="F23" s="66" t="n">
        <x:f t="shared" ref="F23:I23" si="4">E26</x:f>
        <x:v>499.99999999999955</x:v>
      </x:c>
      <x:c r="G23" s="66">
        <x:f t="shared" si="4"/>
        <x:v>499.99999999999955</x:v>
      </x:c>
      <x:c r="H23" s="66">
        <x:f t="shared" si="4"/>
        <x:v>499.99999999999955</x:v>
      </x:c>
      <x:c r="I23" s="66">
        <x:f t="shared" si="4"/>
        <x:v>499.99999999999955</x:v>
      </x:c>
    </x:row>
    <x:row r="24">
      <x:c r="A24" t="s">
        <x:v>285</x:v>
      </x:c>
      <x:c r="B24" s="80">
        <x:v>427</x:v>
      </x:c>
      <x:c r="C24" s="80">
        <x:v>765</x:v>
      </x:c>
      <x:c r="D24" s="80">
        <x:v>-948</x:v>
      </x:c>
      <x:c r="E24" s="66" t="n">
        <x:f>E11+E15+E22</x:f>
        <x:v>124.99999999999955</x:v>
      </x:c>
      <x:c r="F24" s="66" t="n">
        <x:f t="shared" ref="F24:I24" si="5">F11+F15+F22</x:f>
        <x:v>4.547473508864641e-13</x:v>
      </x:c>
      <x:c r="G24" s="66">
        <x:f t="shared" si="5"/>
        <x:v>0</x:v>
      </x:c>
      <x:c r="H24" s="66">
        <x:f t="shared" si="5"/>
        <x:v>0</x:v>
      </x:c>
      <x:c r="I24" s="66">
        <x:f t="shared" si="5"/>
        <x:v>0</x:v>
      </x:c>
    </x:row>
    <x:row r="25">
      <x:c r="A25" t="s">
        <x:v>286</x:v>
      </x:c>
      <x:c r="B25" s="80">
        <x:v>-31</x:v>
      </x:c>
      <x:c r="C25" s="80">
        <x:v>-146</x:v>
      </x:c>
      <x:c r="D25" s="80">
        <x:v>145</x:v>
      </x:c>
      <x:c r="E25" s="66" t="n">
        <x:f>0</x:f>
        <x:v>0</x:v>
      </x:c>
      <x:c r="F25" s="66" t="n">
        <x:f>0</x:f>
        <x:v>0</x:v>
      </x:c>
      <x:c r="G25" s="66" t="n">
        <x:f>0</x:f>
        <x:v>0</x:v>
      </x:c>
      <x:c r="H25" s="66" t="n">
        <x:f>0</x:f>
        <x:v>0</x:v>
      </x:c>
      <x:c r="I25" s="66" t="n">
        <x:f>0</x:f>
        <x:v>0</x:v>
      </x:c>
    </x:row>
    <x:row r="26">
      <x:c r="A26" s="21" t="s">
        <x:v>287</x:v>
      </x:c>
      <x:c r="B26" s="81">
        <x:v>559</x:v>
      </x:c>
      <x:c r="C26" s="81">
        <x:v>1178</x:v>
      </x:c>
      <x:c r="D26" s="81">
        <x:v>375</x:v>
      </x:c>
      <x:c r="E26" s="66" t="n">
        <x:f>E23+E24+E25</x:f>
        <x:v>499.99999999999955</x:v>
      </x:c>
      <x:c r="F26" s="66" t="n">
        <x:f t="shared" ref="F26:I26" si="6">F23+F24+F25</x:f>
        <x:v>500</x:v>
      </x:c>
      <x:c r="G26" s="66">
        <x:f t="shared" si="6"/>
        <x:v>499.99999999999955</x:v>
      </x:c>
      <x:c r="H26" s="66">
        <x:f t="shared" si="6"/>
        <x:v>499.99999999999955</x:v>
      </x:c>
      <x:c r="I26" s="66">
        <x:f t="shared" si="6"/>
        <x:v>499.99999999999955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6"/>
  <x:cols>
    <x:col min="1" max="1" width="33.1640625" customWidth="1"/>
  </x:cols>
  <x:sheetData>
    <x:row r="1">
      <x:c r="A1" s="15" t="s">
        <x:v>288</x:v>
      </x:c>
      <x:c r="B1" s="15"/>
      <x:c r="C1" s="15"/>
      <x:c r="D1" s="15"/>
      <x:c r="E1" s="15"/>
      <x:c r="F1" s="15"/>
      <x:c r="G1" s="15"/>
    </x:row>
    <x:row r="3">
      <x:c r="A3" t="s">
        <x:v>289</x:v>
      </x:c>
      <x:c r="B3" s="5" t="s">
        <x:v>68</x:v>
      </x:c>
      <x:c r="C3" s="5" t="s">
        <x:v>209</x:v>
      </x:c>
      <x:c r="D3" s="5" t="s">
        <x:v>210</x:v>
      </x:c>
      <x:c r="E3" s="5" t="s">
        <x:v>211</x:v>
      </x:c>
      <x:c r="F3" s="5" t="s">
        <x:v>212</x:v>
      </x:c>
      <x:c r="G3" s="5" t="s">
        <x:v>213</x:v>
      </x:c>
    </x:row>
    <x:row r="5">
      <x:c r="A5" t="s">
        <x:v>290</x:v>
      </x:c>
      <x:c r="B5" s="65">
        <x:v>74091</x:v>
      </x:c>
      <x:c r="C5" s="66" t="n">
        <x:f>B9</x:f>
        <x:v>81520</x:v>
      </x:c>
      <x:c r="D5" s="66" t="n">
        <x:f>C9</x:f>
        <x:v>91044.5657772199</x:v>
      </x:c>
      <x:c r="E5" s="66" t="n">
        <x:f>D9</x:f>
        <x:v>101034.24110174124</x:v>
      </x:c>
      <x:c r="F5" s="66" t="n">
        <x:f>E9</x:f>
        <x:v>111116.13993761383</x:v>
      </x:c>
      <x:c r="G5" s="66" t="n">
        <x:f>F9</x:f>
        <x:v>121107.58651093698</x:v>
      </x:c>
    </x:row>
    <x:row r="6">
      <x:c r="A6" t="s">
        <x:v>291</x:v>
      </x:c>
      <x:c r="B6" s="65">
        <x:v>10425</x:v>
      </x:c>
      <x:c r="C6" s="66" t="n">
        <x:f>'04_DRIVERS'!C9*'04_DRIVERS'!C16</x:f>
        <x:v>11712.999999999998</x:v>
      </x:c>
      <x:c r="D6" s="66" t="n">
        <x:f>'04_DRIVERS'!D9*'04_DRIVERS'!D16</x:f>
        <x:v>12433.8</x:v>
      </x:c>
      <x:c r="E6" s="66" t="n">
        <x:f>'04_DRIVERS'!E9*'04_DRIVERS'!E16</x:f>
        <x:v>12794.199999999999</x:v>
      </x:c>
      <x:c r="F6" s="66" t="n">
        <x:f>'04_DRIVERS'!F9*'04_DRIVERS'!F16</x:f>
        <x:v>12974.4</x:v>
      </x:c>
      <x:c r="G6" s="66" t="n">
        <x:f>'04_DRIVERS'!G9*'04_DRIVERS'!G16</x:f>
        <x:v>13154.599999999999</x:v>
      </x:c>
    </x:row>
    <x:row r="7">
      <x:c r="A7" t="s">
        <x:v>292</x:v>
      </x:c>
      <x:c r="B7" s="65">
        <x:v>1989</x:v>
      </x:c>
      <x:c r="C7" s="66" t="n">
        <x:f>C5*'04_DRIVERS'!C17</x:f>
        <x:v>2188.434222780095</x:v>
      </x:c>
      <x:c r="D7" s="66" t="n">
        <x:f>D5*'04_DRIVERS'!D17</x:f>
        <x:v>2444.1246754786735</x:v>
      </x:c>
      <x:c r="E7" s="66" t="n">
        <x:f>E5*'04_DRIVERS'!E17</x:f>
        <x:v>2712.301164127402</x:v>
      </x:c>
      <x:c r="F7" s="66" t="n">
        <x:f>F5*'04_DRIVERS'!F17</x:f>
        <x:v>2982.9534266768424</x:v>
      </x:c>
      <x:c r="G7" s="66" t="n">
        <x:f>G5*'04_DRIVERS'!G17</x:f>
        <x:v>3251.177465147638</x:v>
      </x:c>
    </x:row>
    <x:row r="8">
      <x:c r="A8" t="s">
        <x:v>293</x:v>
      </x:c>
      <x:c r="B8" s="70" t="n">
        <x:f>B9-B5-B6+B7</x:f>
        <x:v>-1007</x:v>
      </x:c>
      <x:c r="C8" s="66">
        <x:v>0</x:v>
      </x:c>
      <x:c r="D8" s="66">
        <x:v>0</x:v>
      </x:c>
      <x:c r="E8" s="66">
        <x:v>0</x:v>
      </x:c>
      <x:c r="F8" s="66">
        <x:v>0</x:v>
      </x:c>
      <x:c r="G8" s="66">
        <x:v>0</x:v>
      </x:c>
    </x:row>
    <x:row r="9">
      <x:c r="A9" t="s">
        <x:v>294</x:v>
      </x:c>
      <x:c r="B9" s="65">
        <x:v>81520</x:v>
      </x:c>
      <x:c r="C9" s="66" t="n">
        <x:f>C5+C6-C7+C8</x:f>
        <x:v>91044.5657772199</x:v>
      </x:c>
      <x:c r="D9" s="66" t="n">
        <x:f t="shared" ref="D9:G9" si="0">D5+D6-D7+D8</x:f>
        <x:v>101034.24110174124</x:v>
      </x:c>
      <x:c r="E9" s="66">
        <x:f t="shared" si="0"/>
        <x:v>111116.13993761383</x:v>
      </x:c>
      <x:c r="F9" s="66">
        <x:f t="shared" si="0"/>
        <x:v>121107.58651093698</x:v>
      </x:c>
      <x:c r="G9" s="66">
        <x:f t="shared" si="0"/>
        <x:v>131011.00904578932</x:v>
      </x:c>
    </x:row>
    <x:row r="11">
      <x:c r="A11" t="s">
        <x:v>227</x:v>
      </x:c>
      <x:c r="B11" s="55" t="n">
        <x:f>B6/'04_DRIVERS'!B9</x:f>
        <x:v>0.9005701451278507</x:v>
      </x:c>
      <x:c r="C11" s="55" t="n">
        <x:f>C6/'04_DRIVERS'!C9</x:f>
        <x:v>0.9009999999999999</x:v>
      </x:c>
      <x:c r="D11" s="55" t="n">
        <x:f>D6/'04_DRIVERS'!D9</x:f>
        <x:v>0.9009999999999999</x:v>
      </x:c>
      <x:c r="E11" s="55" t="n">
        <x:f>E6/'04_DRIVERS'!E9</x:f>
        <x:v>0.9009999999999999</x:v>
      </x:c>
      <x:c r="F11" s="55" t="n">
        <x:f>F6/'04_DRIVERS'!F9</x:f>
        <x:v>0.901</x:v>
      </x:c>
      <x:c r="G11" s="55" t="n">
        <x:f>G6/'04_DRIVERS'!G9</x:f>
        <x:v>0.9009999999999999</x:v>
      </x:c>
    </x:row>
    <x:row r="12">
      <x:c r="A12" t="s">
        <x:v>295</x:v>
      </x:c>
      <x:c r="B12" s="55" t="n">
        <x:f>B7/B5</x:f>
        <x:v>0.026845365833906953</x:v>
      </x:c>
      <x:c r="C12" s="55" t="n">
        <x:f>C7/C5</x:f>
        <x:v>0.026845365833906953</x:v>
      </x:c>
      <x:c r="D12" s="55" t="n">
        <x:f t="shared" ref="D12:G12" si="1">D7/D5</x:f>
        <x:v>0.026845365833906953</x:v>
      </x:c>
      <x:c r="E12" s="55">
        <x:f t="shared" si="1"/>
        <x:v>2.6845365833906953E-2</x:v>
      </x:c>
      <x:c r="F12" s="55">
        <x:f t="shared" si="1"/>
        <x:v>2.6845365833906953E-2</x:v>
      </x:c>
      <x:c r="G12" s="55">
        <x:f t="shared" si="1"/>
        <x:v>2.6845365833906953E-2</x:v>
      </x:c>
    </x:row>
    <x:row r="13">
      <x:c r="A13" t="s">
        <x:v>296</x:v>
      </x:c>
      <x:c r="B13" s="61" t="n">
        <x:f>B9/B5-1</x:f>
        <x:v>0.10026858862749854</x:v>
      </x:c>
      <x:c r="C13" s="61" t="n">
        <x:f>C9/C5-1</x:f>
        <x:v>0.11683716606010686</x:v>
      </x:c>
      <x:c r="D13" s="61" t="n">
        <x:f t="shared" ref="D13:G13" si="2">D9/D5-1</x:f>
        <x:v>0.10972291689506664</x:v>
      </x:c>
      <x:c r="E13" s="61">
        <x:f t="shared" si="2"/>
        <x:v>9.9786950700408106E-2</x:v>
      </x:c>
      <x:c r="F13" s="61">
        <x:f t="shared" si="2"/>
        <x:v>8.9918949478742238E-2</x:v>
      </x:c>
      <x:c r="G13" s="61">
        <x:f t="shared" si="2"/>
        <x:v>8.1773758524681606E-2</x:v>
      </x:c>
      <x:c r="H13" s="62"/>
    </x:row>
    <x:row r="14">
      <x:c r="A14" t="s">
        <x:v>297</x:v>
      </x:c>
      <x:c r="B14" s="56" t="n">
        <x:f>'04_DRIVERS'!B13</x:f>
        <x:v>0.109</x:v>
      </x:c>
      <x:c r="C14" s="56" t="n">
        <x:f>'04_DRIVERS'!C13</x:f>
        <x:v>0.1</x:v>
      </x:c>
      <x:c r="D14" s="56" t="n">
        <x:f>'04_DRIVERS'!D13</x:f>
        <x:v>0.1</x:v>
      </x:c>
      <x:c r="E14" s="56" t="n">
        <x:f>'04_DRIVERS'!E13</x:f>
        <x:v>0.1</x:v>
      </x:c>
      <x:c r="F14" s="56" t="n">
        <x:f>'04_DRIVERS'!F13</x:f>
        <x:v>0.1</x:v>
      </x:c>
      <x:c r="G14" s="56" t="n">
        <x:f>'04_DRIVERS'!G13</x:f>
        <x:v>0.1</x:v>
      </x:c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RowHeight="16"/>
  <x:cols>
    <x:col min="1" max="1" width="31.83203125" customWidth="1"/>
  </x:cols>
  <x:sheetData>
    <x:row r="1">
      <x:c r="A1" s="15" t="s">
        <x:v>298</x:v>
      </x:c>
      <x:c r="B1" s="15"/>
      <x:c r="C1" s="15"/>
      <x:c r="D1" s="15"/>
      <x:c r="E1" s="15"/>
      <x:c r="F1" s="15"/>
      <x:c r="G1" s="15"/>
    </x:row>
    <x:row r="3">
      <x:c r="A3" s="25" t="s">
        <x:v>299</x:v>
      </x:c>
      <x:c r="B3" s="5" t="s">
        <x:v>68</x:v>
      </x:c>
      <x:c r="C3" s="5" t="s">
        <x:v>209</x:v>
      </x:c>
      <x:c r="D3" s="5" t="s">
        <x:v>210</x:v>
      </x:c>
      <x:c r="E3" s="5" t="s">
        <x:v>211</x:v>
      </x:c>
      <x:c r="F3" s="5" t="s">
        <x:v>212</x:v>
      </x:c>
      <x:c r="G3" s="5" t="s">
        <x:v>213</x:v>
      </x:c>
    </x:row>
    <x:row r="5">
      <x:c r="A5" t="s">
        <x:v>300</x:v>
      </x:c>
      <x:c r="B5" s="65">
        <x:v>47539</x:v>
      </x:c>
      <x:c r="C5" s="66" t="n">
        <x:f>B9</x:f>
        <x:v>46755</x:v>
      </x:c>
      <x:c r="D5" s="66" t="n">
        <x:f>C9</x:f>
        <x:v>53640.43082737349</x:v>
      </x:c>
      <x:c r="E5" s="66" t="n">
        <x:f>D9</x:f>
        <x:v>60851.98886071966</x:v>
      </x:c>
      <x:c r="F5" s="66" t="n">
        <x:f>E9</x:f>
        <x:v>68111.84747862161</x:v>
      </x:c>
      <x:c r="G5" s="66" t="n">
        <x:f>F9</x:f>
        <x:v>75238.52064228042</x:v>
      </x:c>
    </x:row>
    <x:row r="6">
      <x:c r="A6" t="s">
        <x:v>301</x:v>
      </x:c>
      <x:c r="B6" s="65">
        <x:v>4172</x:v>
      </x:c>
      <x:c r="C6" s="66" t="n">
        <x:f>'04_DRIVERS'!C9*'04_DRIVERS'!C19</x:f>
        <x:v>5200</x:v>
      </x:c>
      <x:c r="D6" s="66" t="n">
        <x:f>'04_DRIVERS'!D9*'04_DRIVERS'!D19</x:f>
        <x:v>5520</x:v>
      </x:c>
      <x:c r="E6" s="66" t="n">
        <x:f>'04_DRIVERS'!E9*'04_DRIVERS'!E19</x:f>
        <x:v>5680</x:v>
      </x:c>
      <x:c r="F6" s="66" t="n">
        <x:f>'04_DRIVERS'!F9*'04_DRIVERS'!F19</x:f>
        <x:v>5760</x:v>
      </x:c>
      <x:c r="G6" s="66" t="n">
        <x:f>'04_DRIVERS'!G9*'04_DRIVERS'!G19</x:f>
        <x:v>5840</x:v>
      </x:c>
    </x:row>
    <x:row r="7">
      <x:c r="A7" t="s">
        <x:v>280</x:v>
      </x:c>
      <x:c r="B7" s="65">
        <x:v>2961</x:v>
      </x:c>
      <x:c r="C7" s="66" t="n">
        <x:f>C5*'04_DRIVERS'!C20</x:f>
        <x:v>2922.1875</x:v>
      </x:c>
      <x:c r="D7" s="66" t="n">
        <x:f>D5*'04_DRIVERS'!D20</x:f>
        <x:v>3352.5269267108433</x:v>
      </x:c>
      <x:c r="E7" s="66" t="n">
        <x:f>E5*'04_DRIVERS'!E20</x:f>
        <x:v>3803.249303794979</x:v>
      </x:c>
      <x:c r="F7" s="66" t="n">
        <x:f>F5*'04_DRIVERS'!F20</x:f>
        <x:v>4256.990467413851</x:v>
      </x:c>
      <x:c r="G7" s="66" t="n">
        <x:f>G5*'04_DRIVERS'!G20</x:f>
        <x:v>4702.407540142526</x:v>
      </x:c>
    </x:row>
    <x:row r="8">
      <x:c r="A8" t="s">
        <x:v>302</x:v>
      </x:c>
      <x:c r="B8" s="66" t="n">
        <x:f>B9-B5-B6+B7</x:f>
        <x:v>-1995</x:v>
      </x:c>
      <x:c r="C8" s="66">
        <x:v>0</x:v>
      </x:c>
      <x:c r="D8" s="66">
        <x:v>0</x:v>
      </x:c>
      <x:c r="E8" s="66">
        <x:v>0</x:v>
      </x:c>
      <x:c r="F8" s="66">
        <x:v>0</x:v>
      </x:c>
      <x:c r="G8" s="66">
        <x:v>0</x:v>
      </x:c>
    </x:row>
    <x:row r="9">
      <x:c r="A9" t="s">
        <x:v>303</x:v>
      </x:c>
      <x:c r="B9" s="65">
        <x:v>46755</x:v>
      </x:c>
      <x:c r="C9" s="66" t="n">
        <x:f>C5+C6+C14-C7+C8</x:f>
        <x:v>53640.43082737349</x:v>
      </x:c>
      <x:c r="D9" s="66" t="n">
        <x:f>D5+D6+D14-D7+D8</x:f>
        <x:v>60851.98886071966</x:v>
      </x:c>
      <x:c r="E9" s="66" t="n">
        <x:f>E5+E6+E14-E7+E8</x:f>
        <x:v>68111.84747862161</x:v>
      </x:c>
      <x:c r="F9" s="66" t="n">
        <x:f>F5+F6+F14-F7+F8</x:f>
        <x:v>75238.52064228042</x:v>
      </x:c>
      <x:c r="G9" s="66" t="n">
        <x:f>G5+G6+G14-G7+G8</x:f>
        <x:v>82236.15728290583</x:v>
      </x:c>
    </x:row>
    <x:row r="10">
      <x:c r="B10" s="66"/>
      <x:c r="C10" s="66"/>
      <x:c r="D10" s="66"/>
      <x:c r="E10" s="66"/>
      <x:c r="F10" s="66"/>
      <x:c r="G10" s="66"/>
    </x:row>
    <x:row r="11">
      <x:c r="A11" t="s">
        <x:v>304</x:v>
      </x:c>
      <x:c r="B11" s="66" t="n">
        <x:f>(B5+B9)/2</x:f>
        <x:v>47147</x:v>
      </x:c>
      <x:c r="C11" s="66" t="n">
        <x:f>(C5+(C5+C6-C7+C8))/2</x:f>
        <x:v>47893.90625</x:v>
      </x:c>
      <x:c r="D11" s="66" t="n">
        <x:f t="shared" ref="D11:G11" si="0">(D5+(D5+D6-D7+D8))/2</x:f>
        <x:v>54724.16736401807</x:v>
      </x:c>
      <x:c r="E11" s="66">
        <x:f t="shared" si="0"/>
        <x:v>61790.364208822175</x:v>
      </x:c>
      <x:c r="F11" s="66">
        <x:f t="shared" si="0"/>
        <x:v>68863.352244914684</x:v>
      </x:c>
      <x:c r="G11" s="66">
        <x:f t="shared" si="0"/>
        <x:v>75807.316872209165</x:v>
      </x:c>
    </x:row>
    <x:row r="12">
      <x:c r="A12" t="s">
        <x:v>231</x:v>
      </x:c>
      <x:c r="B12" s="55" t="n">
        <x:f>1705/B11</x:f>
        <x:v>0.036163488663117485</x:v>
      </x:c>
      <x:c r="C12" s="55" t="n">
        <x:f>'04_DRIVERS'!C21</x:f>
        <x:v>0.038</x:v>
      </x:c>
      <x:c r="D12" s="55" t="n">
        <x:f>'04_DRIVERS'!D21</x:f>
        <x:v>0.039</x:v>
      </x:c>
      <x:c r="E12" s="55" t="n">
        <x:f>'04_DRIVERS'!E21</x:f>
        <x:v>0.04</x:v>
      </x:c>
      <x:c r="F12" s="55" t="n">
        <x:f>'04_DRIVERS'!F21</x:f>
        <x:v>0.04</x:v>
      </x:c>
      <x:c r="G12" s="55" t="n">
        <x:f>'04_DRIVERS'!G21</x:f>
        <x:v>0.04</x:v>
      </x:c>
    </x:row>
    <x:row r="13">
      <x:c r="A13" t="s">
        <x:v>305</x:v>
      </x:c>
      <x:c r="B13" s="65">
        <x:v>1705</x:v>
      </x:c>
      <x:c r="C13" s="66" t="n">
        <x:f>C11*C12</x:f>
        <x:v>1819.9684375</x:v>
      </x:c>
      <x:c r="D13" s="66" t="n">
        <x:f t="shared" ref="D13:G13" si="1">D11*D12</x:f>
        <x:v>2134.2425271967045</x:v>
      </x:c>
      <x:c r="E13" s="66">
        <x:f t="shared" si="1"/>
        <x:v>2471.6145683528871</x:v>
      </x:c>
      <x:c r="F13" s="66">
        <x:f t="shared" si="1"/>
        <x:v>2754.5340897965875</x:v>
      </x:c>
      <x:c r="G13" s="66">
        <x:f t="shared" si="1"/>
        <x:v>3032.2926748883665</x:v>
      </x:c>
    </x:row>
    <x:row r="14">
      <x:c r="A14" t="s">
        <x:v>306</x:v>
      </x:c>
      <x:c r="B14" s="66">
        <x:v>0</x:v>
      </x:c>
      <x:c r="C14" s="66" t="n">
        <x:f>'07_CASH_FLOW'!E17</x:f>
        <x:v>4607.618327373491</x:v>
      </x:c>
      <x:c r="D14" s="66" t="n">
        <x:f>'07_CASH_FLOW'!F17</x:f>
        <x:v>5044.084960057016</x:v>
      </x:c>
      <x:c r="E14" s="66" t="n">
        <x:f>'07_CASH_FLOW'!G17</x:f>
        <x:v>5383.107921696925</x:v>
      </x:c>
      <x:c r="F14" s="66" t="n">
        <x:f>'07_CASH_FLOW'!H17</x:f>
        <x:v>5623.663631072661</x:v>
      </x:c>
      <x:c r="G14" s="66" t="n">
        <x:f>'07_CASH_FLOW'!I17</x:f>
        <x:v>5860.044180767933</x:v>
      </x:c>
    </x:row>
    <x:row r="15">
      <x:c r="A15" t="s">
        <x:v>229</x:v>
      </x:c>
      <x:c r="B15" s="55" t="n">
        <x:f>B6/'04_DRIVERS'!B9</x:f>
        <x:v>0.3604008293020041</x:v>
      </x:c>
      <x:c r="C15" s="54" t="n">
        <x:f>C6/'04_DRIVERS'!C9</x:f>
        <x:v>0.4</x:v>
      </x:c>
      <x:c r="D15" s="54" t="n">
        <x:f>D6/'04_DRIVERS'!D9</x:f>
        <x:v>0.4</x:v>
      </x:c>
      <x:c r="E15" s="54" t="n">
        <x:f>E6/'04_DRIVERS'!E9</x:f>
        <x:v>0.4</x:v>
      </x:c>
      <x:c r="F15" s="54" t="n">
        <x:f>F6/'04_DRIVERS'!F9</x:f>
        <x:v>0.4</x:v>
      </x:c>
      <x:c r="G15" s="54" t="n">
        <x:f>G6/'04_DRIVERS'!G9</x:f>
        <x:v>0.4</x:v>
      </x:c>
    </x:row>
    <x:row r="16">
      <x:c r="A16" t="s">
        <x:v>230</x:v>
      </x:c>
      <x:c r="B16" s="55" t="n">
        <x:f>B7/B5</x:f>
        <x:v>0.06228570226550832</x:v>
      </x:c>
      <x:c r="C16" s="67" t="n">
        <x:f>C7/C5</x:f>
        <x:v>0.0625</x:v>
      </x:c>
      <x:c r="D16" s="59" t="n">
        <x:f t="shared" ref="D16:G16" si="2">D7/D5</x:f>
        <x:v>0.0625</x:v>
      </x:c>
      <x:c r="E16" s="59">
        <x:f t="shared" si="2"/>
        <x:v>6.25E-2</x:v>
      </x:c>
      <x:c r="F16" s="59">
        <x:f t="shared" si="2"/>
        <x:v>6.25E-2</x:v>
      </x:c>
      <x:c r="G16" s="59">
        <x:f t="shared" si="2"/>
        <x:v>6.25E-2</x:v>
      </x:c>
    </x:row>
    <x:row r="17">
      <x:c r="A17" t="s">
        <x:v>307</x:v>
      </x:c>
      <x:c r="B17" s="55" t="n">
        <x:f>B9/B5-1</x:f>
        <x:v>-0.016491722585666557</x:v>
      </x:c>
      <x:c r="C17" s="55" t="n">
        <x:f>C9/C5-1</x:f>
        <x:v>0.14726619243660566</x:v>
      </x:c>
      <x:c r="D17" s="55" t="n">
        <x:f t="shared" ref="D17:G17" si="3">D9/D5-1</x:f>
        <x:v>0.13444258224835148</x:v>
      </x:c>
      <x:c r="E17" s="55">
        <x:f t="shared" si="3"/>
        <x:v>0.11930355529576175</x:v>
      </x:c>
      <x:c r="F17" s="55">
        <x:f t="shared" si="3"/>
        <x:v>0.10463191687607165</x:v>
      </x:c>
      <x:c r="G17" s="55">
        <x:f t="shared" si="3"/>
        <x:v>9.30060370790049E-2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RowHeight="16"/>
  <x:cols>
    <x:col min="1" max="1" width="25.6640625" customWidth="1"/>
    <x:col min="2" max="2" width="17" customWidth="1"/>
    <x:col min="3" max="3" width="19" customWidth="1"/>
    <x:col min="4" max="4" width="20.6640625" customWidth="1"/>
    <x:col min="5" max="5" width="16.5" customWidth="1"/>
    <x:col min="6" max="6" width="12.83203125" customWidth="1"/>
    <x:col min="7" max="7" width="12.1640625" customWidth="1"/>
    <x:col min="8" max="8" width="15.5" customWidth="1"/>
    <x:col min="9" max="9" width="88" customWidth="1"/>
  </x:cols>
  <x:sheetData>
    <x:row r="1">
      <x:c r="A1" s="15" t="s">
        <x:v>308</x:v>
      </x:c>
      <x:c r="B1" s="15"/>
      <x:c r="C1" s="15"/>
      <x:c r="D1" s="15"/>
      <x:c r="E1" s="15"/>
      <x:c r="F1" s="15"/>
      <x:c r="G1" s="15"/>
      <x:c r="H1" s="15"/>
      <x:c r="I1" s="15"/>
    </x:row>
    <x:row r="2">
      <x:c r="A2" t="s">
        <x:v>309</x:v>
      </x:c>
    </x:row>
    <x:row r="3">
      <x:c r="A3" s="21"/>
      <x:c r="B3" s="21"/>
      <x:c r="C3" s="21"/>
      <x:c r="D3" s="21"/>
      <x:c r="E3" s="21"/>
    </x:row>
    <x:row r="4" s="25" customFormat="1">
      <x:c r="A4" s="25" t="s">
        <x:v>310</x:v>
      </x:c>
      <x:c r="B4" s="25" t="s">
        <x:v>311</x:v>
      </x:c>
      <x:c r="C4" s="82" t="s">
        <x:v>312</x:v>
      </x:c>
      <x:c r="D4" s="25" t="s">
        <x:v>313</x:v>
      </x:c>
      <x:c r="E4" s="25" t="s">
        <x:v>314</x:v>
      </x:c>
      <x:c r="F4" s="25" t="s">
        <x:v>315</x:v>
      </x:c>
      <x:c r="G4" s="25" t="s">
        <x:v>316</x:v>
      </x:c>
      <x:c r="H4" s="25" t="s">
        <x:v>317</x:v>
      </x:c>
      <x:c r="I4" s="25" t="s">
        <x:v>318</x:v>
      </x:c>
    </x:row>
    <x:row r="5">
      <x:c r="A5" t="s">
        <x:v>319</x:v>
      </x:c>
      <x:c r="B5" s="66" t="n">
        <x:f>'05_INCOME_STATEMENT'!D5</x:f>
        <x:v>17687</x:v>
      </x:c>
      <x:c r="C5" s="66">
        <x:v>19500</x:v>
      </x:c>
      <x:c r="D5" s="83" t="n">
        <x:f>'05_INCOME_STATEMENT'!E5</x:f>
        <x:v>19101.960000000003</x:v>
      </x:c>
      <x:c r="E5" s="53" t="n">
        <x:f>D5-C5</x:f>
        <x:v>-398.03999999999724</x:v>
      </x:c>
      <x:c r="F5" t="n">
        <x:f>IFERROR(D5/C5-1,0)</x:f>
        <x:v>-0.020412307692307508</x:v>
      </x:c>
      <x:c r="G5" t="n">
        <x:f>IFERROR(D5/B5-1,0)</x:f>
        <x:v>0.08000000000000007</x:v>
      </x:c>
      <x:c r="H5" t="str">
        <x:f>IF(E5&gt;=0,"F","A")</x:f>
        <x:v>A</x:v>
      </x:c>
      <x:c r="I5" t="str">
        <x:f>IF(E5&gt;=0,"Revenue forecast is £"&amp;TEXT(E5,"#,##0")&amp;"m above budget.","Revenue forecast is £"&amp;TEXT(ABS(E5),"#,##0")&amp;"m below budget; investigate timing, volumes and regulated revenue assumptions.")</x:f>
        <x:v>Revenue forecast is £398m below budget; investigate timing, volumes and regulated revenue assumptions.</x:v>
      </x:c>
    </x:row>
    <x:row r="6">
      <x:c r="A6" t="s">
        <x:v>320</x:v>
      </x:c>
      <x:c r="B6" s="66" t="n">
        <x:f>'05_INCOME_STATEMENT'!D8</x:f>
        <x:v>5431</x:v>
      </x:c>
      <x:c r="C6" s="66">
        <x:v>6143</x:v>
      </x:c>
      <x:c r="D6" s="83" t="n">
        <x:f>'05_INCOME_STATEMENT'!E8</x:f>
        <x:v>6074.423280000001</x:v>
      </x:c>
      <x:c r="E6" s="53" t="n">
        <x:f>D6-C6</x:f>
        <x:v>-68.57671999999911</x:v>
      </x:c>
      <x:c r="F6" t="n">
        <x:f>IFERROR(D6/C6-1,0)</x:f>
        <x:v>-0.011163392479244472</x:v>
      </x:c>
      <x:c r="G6" t="n">
        <x:f>IFERROR(D6/B6-1,0)</x:f>
        <x:v>0.11847234026882725</x:v>
      </x:c>
      <x:c r="H6" t="str">
        <x:f>IF(E6&gt;=0,"F","A")</x:f>
        <x:v>A</x:v>
      </x:c>
      <x:c r="I6" t="str">
        <x:f>IF(E6&gt;=0,"Operating profit is £"&amp;TEXT(E6,"#,##0")&amp;"m above budget.","Operating profit is £"&amp;TEXT(ABS(E6),"#,##0")&amp;"m below budget; assess revenue performance versus margin protection.")</x:f>
        <x:v>Operating profit is £69m below budget; assess revenue performance versus margin protection.</x:v>
      </x:c>
    </x:row>
    <x:row r="7">
      <x:c r="A7" t="s">
        <x:v>188</x:v>
      </x:c>
      <x:c r="B7" s="59" t="n">
        <x:f>'05_INCOME_STATEMENT'!D9</x:f>
        <x:v>0.3070616837225081</x:v>
      </x:c>
      <x:c r="C7" s="59">
        <x:v>0.315</x:v>
      </x:c>
      <x:c r="D7" s="84" t="n">
        <x:f>'05_INCOME_STATEMENT'!E9</x:f>
        <x:v>0.318</x:v>
      </x:c>
      <x:c r="E7" s="59" t="n">
        <x:f>D7-C7</x:f>
        <x:v>0.0030000000000000027</x:v>
      </x:c>
      <x:c r="F7" s="59" t="str">
        <x:f>""</x:f>
      </x:c>
      <x:c r="G7" s="59" t="n">
        <x:f>D7-B7</x:f>
        <x:v>0.010938316277491922</x:v>
      </x:c>
      <x:c r="H7" t="str">
        <x:f>IF(E7&gt;=0,"F","A")</x:f>
        <x:v>F</x:v>
      </x:c>
      <x:c r="I7" t="str">
        <x:f>IF(E7&gt;=0,"Operating margin is "&amp;TEXT(E7*100,"0.0")&amp;"pp above budget, indicating stronger operating efficiency.","Operating margin is "&amp;TEXT(ABS(E7)*100,"0.0")&amp;"pp below budget; review operating cost control.")</x:f>
        <x:v>Operating margin is 0.3pp above budget, indicating stronger operating efficiency.</x:v>
      </x:c>
    </x:row>
    <x:row r="8">
      <x:c r="A8" t="s">
        <x:v>321</x:v>
      </x:c>
      <x:c r="B8" s="66" t="n">
        <x:f>'04_DRIVERS'!B9</x:f>
        <x:v>11576</x:v>
      </x:c>
      <x:c r="C8" s="66">
        <x:v>12800</x:v>
      </x:c>
      <x:c r="D8" s="83" t="n">
        <x:f>'04_DRIVERS'!C9</x:f>
        <x:v>13000</x:v>
      </x:c>
      <x:c r="E8" s="16" t="n">
        <x:f>D8-C8</x:f>
        <x:v>200</x:v>
      </x:c>
      <x:c r="F8" t="n">
        <x:f>IFERROR(D8/C8-1,0)</x:f>
        <x:v>0.015625</x:v>
      </x:c>
      <x:c r="G8" t="n">
        <x:f>IFERROR(D8/B8-1,0)</x:f>
        <x:v>0.12301313061506569</x:v>
      </x:c>
      <x:c r="H8" t="str">
        <x:f>IF(E8&lt;=0,"F","A")</x:f>
        <x:v>A</x:v>
      </x:c>
      <x:c r="I8" t="str">
        <x:f>IF(E8&lt;=0,"Capital investment is £"&amp;TEXT(ABS(E8),"#,##0")&amp;"m below budget.","Capital investment is £"&amp;TEXT(E8,"#,##0")&amp;"m above budget; review project timing, delivery and funding requirements.")</x:f>
        <x:v>Capital investment is £200m above budget; review project timing, delivery and funding requirements.</x:v>
      </x:c>
    </x:row>
    <x:row r="9">
      <x:c r="A9" t="s">
        <x:v>322</x:v>
      </x:c>
      <x:c r="B9" s="66" t="n">
        <x:f>'07_CASH_FLOW'!D11</x:f>
        <x:v>7829</x:v>
      </x:c>
      <x:c r="C9" s="66">
        <x:v>9300</x:v>
      </x:c>
      <x:c r="D9" s="83" t="n">
        <x:f>'07_CASH_FLOW'!E11</x:f>
        <x:v>9556.278198701506</x:v>
      </x:c>
      <x:c r="E9" t="n">
        <x:f>D9-C9</x:f>
        <x:v>256.27819870150597</x:v>
      </x:c>
      <x:c r="F9" t="n">
        <x:f>IFERROR(D9/C9-1,0)</x:f>
        <x:v>0.027556795559301683</x:v>
      </x:c>
      <x:c r="G9" t="n">
        <x:f>IFERROR(D9/B9-1,0)</x:f>
        <x:v>0.22062564806507923</x:v>
      </x:c>
      <x:c r="H9" t="str">
        <x:f>IF(E9&gt;=0,"F","A")</x:f>
        <x:v>F</x:v>
      </x:c>
      <x:c r="I9" t="str">
        <x:f>IF(E9&gt;=0,"Operating cash flow is £"&amp;TEXT(E9,"#,##0")&amp;"m above budget.","Operating cash flow is £"&amp;TEXT(ABS(E9),"#,##0")&amp;"m below budget; review working capital and cash conversion.")</x:f>
        <x:v>Operating cash flow is £256m above budget.</x:v>
      </x:c>
    </x:row>
    <x:row r="10">
      <x:c r="A10" t="s">
        <x:v>323</x:v>
      </x:c>
      <x:c r="B10" s="66" t="n">
        <x:f>'09_DEBT'!B13</x:f>
        <x:v>1705</x:v>
      </x:c>
      <x:c r="C10" s="66">
        <x:v>1800</x:v>
      </x:c>
      <x:c r="D10" s="83" t="n">
        <x:f>'09_DEBT'!C13</x:f>
        <x:v>1819.9684375</x:v>
      </x:c>
      <x:c r="E10" t="n">
        <x:f>D10-C10</x:f>
        <x:v>19.968437499999936</x:v>
      </x:c>
      <x:c r="F10" t="n">
        <x:f>IFERROR(D10/C10-1,0)</x:f>
        <x:v>0.01109357638888886</x:v>
      </x:c>
      <x:c r="G10" t="n">
        <x:f>IFERROR(D10/B10-1,0)</x:f>
        <x:v>0.06743016862170093</x:v>
      </x:c>
      <x:c r="H10" t="str">
        <x:f>IF(E10&lt;=0,"F","A")</x:f>
        <x:v>A</x:v>
      </x:c>
      <x:c r="I10" t="str">
        <x:f>IF(E10&lt;=0,"Finance cost is £"&amp;TEXT(ABS(E10),"#,##0")&amp;"m below budget.","Finance cost is £"&amp;TEXT(E10,"#,##0")&amp;"m above budget due to higher funding requirements and debt levels.")</x:f>
        <x:v>Finance cost is £20m above budget due to higher funding requirements and debt levels.</x:v>
      </x:c>
    </x:row>
    <x:row r="11">
      <x:c r="A11" t="s">
        <x:v>324</x:v>
      </x:c>
      <x:c r="B11" s="66" t="n">
        <x:f>'05_INCOME_STATEMENT'!D19</x:f>
        <x:v>3243</x:v>
      </x:c>
      <x:c r="C11" s="66">
        <x:v>3650</x:v>
      </x:c>
      <x:c r="D11" s="83" t="n">
        <x:f>'05_INCOME_STATEMENT'!E19</x:f>
        <x:v>3675.933177150001</x:v>
      </x:c>
      <x:c r="E11" s="16" t="n">
        <x:f>D11-C11</x:f>
        <x:v>25.93317715000103</x:v>
      </x:c>
      <x:c r="F11" t="n">
        <x:f>IFERROR(D11/C11-1,0)</x:f>
        <x:v>0.007104980041096276</x:v>
      </x:c>
      <x:c r="G11" t="n">
        <x:f>IFERROR(D11/B11-1,0)</x:f>
        <x:v>0.1334977419518968</x:v>
      </x:c>
      <x:c r="H11" t="str">
        <x:f>IF(E11&gt;=0,"F","A")</x:f>
        <x:v>F</x:v>
      </x:c>
      <x:c r="I11" t="str">
        <x:f>IF(E11&gt;=0,"Profit after tax is £"&amp;TEXT(E11,"#,##0")&amp;"m above budget.","Profit after tax is £"&amp;TEXT(ABS(E11),"#,##0")&amp;"m below budget; review operating performance and financing costs.")</x:f>
        <x:v>Profit after tax is £26m above budget.</x:v>
      </x:c>
    </x:row>
    <x:row r="12">
      <x:c r="A12" t="s">
        <x:v>325</x:v>
      </x:c>
      <x:c r="B12" s="66" t="n">
        <x:f>'09_DEBT'!B9</x:f>
        <x:v>46755</x:v>
      </x:c>
      <x:c r="C12" s="66">
        <x:v>52500</x:v>
      </x:c>
      <x:c r="D12" s="83" t="n">
        <x:f>'09_DEBT'!C9</x:f>
        <x:v>53640.43082737349</x:v>
      </x:c>
      <x:c r="E12" t="n">
        <x:f>D12-C12</x:f>
        <x:v>1140.4308273734932</x:v>
      </x:c>
      <x:c r="F12" t="n">
        <x:f>IFERROR(D12/C12-1,0)</x:f>
        <x:v>0.021722491949971223</x:v>
      </x:c>
      <x:c r="G12" t="n">
        <x:f>IFERROR(D12/B12-1,0)</x:f>
        <x:v>0.14726619243660566</x:v>
      </x:c>
      <x:c r="H12" t="str">
        <x:f>IF(E12&lt;=0,"F","A")</x:f>
        <x:v>A</x:v>
      </x:c>
      <x:c r="I12" t="str">
        <x:f>IF(E12&lt;=0,"Closing debt is £"&amp;TEXT(ABS(E12),"#,##0")&amp;"m below budget.","Closing debt is £"&amp;TEXT(E12,"#,##0")&amp;"m above budget; monitor leverage and financing capacity.")</x:f>
        <x:v>Closing debt is £1,140m above budget; monitor leverage and financing capacity.</x:v>
      </x:c>
    </x:row>
    <x:row r="13">
      <x:c r="A13" t="s">
        <x:v>326</x:v>
      </x:c>
      <x:c r="B13" s="66" t="n">
        <x:f>'09_DEBT'!B14</x:f>
        <x:v>0</x:v>
      </x:c>
      <x:c r="C13" s="66">
        <x:v>4000</x:v>
      </x:c>
      <x:c r="D13" s="66" t="n">
        <x:f>'09_DEBT'!C14</x:f>
        <x:v>4607.618327373491</x:v>
      </x:c>
      <x:c r="E13" t="n">
        <x:f>D13-C13</x:f>
        <x:v>607.6183273734914</x:v>
      </x:c>
      <x:c r="F13" t="n">
        <x:f>IFERROR(D13/C13-1,0)</x:f>
        <x:v>0.15190458184337285</x:v>
      </x:c>
      <x:c r="G13" t="str">
        <x:f>""</x:f>
      </x:c>
      <x:c r="H13" t="str">
        <x:f>IF(E13&lt;=0,"F","A")</x:f>
        <x:v>A</x:v>
      </x:c>
      <x:c r="I13" t="str">
        <x:f>IF(E13&lt;=0,"Additional funding requirement is £"&amp;TEXT(ABS(E13),"#,##0")&amp;"m below budget.","Additional funding requirement is £"&amp;TEXT(E13,"#,##0")&amp;"m above budget, highlighting increased external financing needs.")</x:f>
        <x:v>Additional funding requirement is £608m above budget, highlighting increased external financing needs.</x:v>
      </x:c>
    </x:row>
  </x:sheetData>
  <x:mergeCells>
    <x:mergeCell ref="A1:I1"/>
  </x:mergeCells>
  <x:conditionalFormatting sqref="H5:H13">
    <x:cfRule type="containsText" priority="1" operator="containsText" text="F">
      <x:formula>NOT(ISERROR(SEARCH("F",H5)))</x:formula>
    </x:cfRule>
    <x:cfRule type="dataBar" priority="2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{AEE1C826-6749-2A46-8948-41AB9C554090}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EE1C826-6749-2A46-8948-41AB9C55409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H5:H13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baseColWidth="10" defaultRowHeight="16"/>
  <x:cols>
    <x:col min="1" max="1" width="25.1640625" customWidth="1"/>
    <x:col min="2" max="2" width="12.1640625" customWidth="1"/>
    <x:col min="3" max="4" width="12.83203125" customWidth="1"/>
    <x:col min="5" max="9" width="15.1640625" customWidth="1"/>
  </x:cols>
  <x:sheetData>
    <x:row r="1">
      <x:c r="A1" s="15" t="s">
        <x:v>327</x:v>
      </x:c>
      <x:c r="B1" s="15"/>
      <x:c r="C1" s="15"/>
      <x:c r="D1" s="15"/>
      <x:c r="E1" s="15"/>
      <x:c r="F1" s="15"/>
      <x:c r="G1" s="15"/>
      <x:c r="H1" s="15"/>
      <x:c r="I1" s="15"/>
    </x:row>
    <x:row r="3">
      <x:c r="A3" s="25" t="s">
        <x:v>328</x:v>
      </x:c>
      <x:c r="B3" s="25" t="s">
        <x:v>66</x:v>
      </x:c>
      <x:c r="C3" s="25" t="s">
        <x:v>67</x:v>
      </x:c>
      <x:c r="D3" s="25" t="s">
        <x:v>68</x:v>
      </x:c>
      <x:c r="E3" s="25" t="s">
        <x:v>209</x:v>
      </x:c>
      <x:c r="F3" s="25" t="s">
        <x:v>210</x:v>
      </x:c>
      <x:c r="G3" s="25" t="s">
        <x:v>211</x:v>
      </x:c>
      <x:c r="H3" s="25" t="s">
        <x:v>212</x:v>
      </x:c>
      <x:c r="I3" s="25" t="s">
        <x:v>213</x:v>
      </x:c>
    </x:row>
    <x:row r="4">
      <x:c r="A4" t="s">
        <x:v>187</x:v>
      </x:c>
      <x:c r="B4" t="str">
        <x:f>""</x:f>
      </x:c>
      <x:c r="C4" t="n">
        <x:f>'05_INCOME_STATEMENT'!C6</x:f>
        <x:v>-0.07415617128463481</x:v>
      </x:c>
      <x:c r="D4" t="n">
        <x:f>'05_INCOME_STATEMENT'!D6</x:f>
        <x:v>-0.037599303515072346</x:v>
      </x:c>
      <x:c r="E4" t="n">
        <x:f>'05_INCOME_STATEMENT'!E6</x:f>
        <x:v>0.08</x:v>
      </x:c>
      <x:c r="F4" t="n">
        <x:f>'05_INCOME_STATEMENT'!F6</x:f>
        <x:v>0.07</x:v>
      </x:c>
      <x:c r="G4" t="n">
        <x:f>'05_INCOME_STATEMENT'!G6</x:f>
        <x:v>0.065</x:v>
      </x:c>
      <x:c r="H4" t="n">
        <x:f>'05_INCOME_STATEMENT'!H6</x:f>
        <x:v>0.06</x:v>
      </x:c>
      <x:c r="I4" t="n">
        <x:f>'05_INCOME_STATEMENT'!I6</x:f>
        <x:v>0.055</x:v>
      </x:c>
    </x:row>
    <x:row r="5">
      <x:c r="A5" t="s">
        <x:v>188</x:v>
      </x:c>
      <x:c r="B5" s="28" t="n">
        <x:f>'05_INCOME_STATEMENT'!B9</x:f>
        <x:v>0.22544080604534006</x:v>
      </x:c>
      <x:c r="C5" s="28" t="n">
        <x:f>'05_INCOME_STATEMENT'!C9</x:f>
        <x:v>0.26847317444770924</x:v>
      </x:c>
      <x:c r="D5" s="28" t="n">
        <x:f>'05_INCOME_STATEMENT'!D9</x:f>
        <x:v>0.3070616837225081</x:v>
      </x:c>
      <x:c r="E5" t="n">
        <x:f>'05_INCOME_STATEMENT'!E9</x:f>
        <x:v>0.318</x:v>
      </x:c>
      <x:c r="F5" t="n">
        <x:f>'05_INCOME_STATEMENT'!F9</x:f>
        <x:v>0.32</x:v>
      </x:c>
      <x:c r="G5" t="n">
        <x:f>'05_INCOME_STATEMENT'!G9</x:f>
        <x:v>0.321</x:v>
      </x:c>
      <x:c r="H5" t="n">
        <x:f>'05_INCOME_STATEMENT'!H9</x:f>
        <x:v>0.322</x:v>
      </x:c>
      <x:c r="I5" t="n">
        <x:f>'05_INCOME_STATEMENT'!I9</x:f>
        <x:v>0.323</x:v>
      </x:c>
    </x:row>
    <x:row r="6">
      <x:c r="A6" t="s">
        <x:v>329</x:v>
      </x:c>
      <x:c r="B6" s="28" t="n">
        <x:f>'05_INCOME_STATEMENT'!B19/'05_INCOME_STATEMENT'!B5</x:f>
        <x:v>0.11168765743073047</x:v>
      </x:c>
      <x:c r="C6" s="28" t="n">
        <x:f>'05_INCOME_STATEMENT'!C19/'05_INCOME_STATEMENT'!C5</x:f>
        <x:v>0.15393405158341494</x:v>
      </x:c>
      <x:c r="D6" s="28" t="n">
        <x:f>'05_INCOME_STATEMENT'!D19/'05_INCOME_STATEMENT'!D5</x:f>
        <x:v>0.18335500650195058</x:v>
      </x:c>
      <x:c r="E6" s="28" t="n">
        <x:f>'05_INCOME_STATEMENT'!E19/'05_INCOME_STATEMENT'!E5</x:f>
        <x:v>0.1924374868940151</x:v>
      </x:c>
      <x:c r="F6" s="28" t="n">
        <x:f>'05_INCOME_STATEMENT'!F19/'05_INCOME_STATEMENT'!F5</x:f>
        <x:v>0.1857312778915974</x:v>
      </x:c>
      <x:c r="G6" s="28" t="n">
        <x:f>'05_INCOME_STATEMENT'!G19/'05_INCOME_STATEMENT'!G5</x:f>
        <x:v>0.1784069880694804</x:v>
      </x:c>
      <x:c r="H6" s="28" t="n">
        <x:f>'05_INCOME_STATEMENT'!H19/'05_INCOME_STATEMENT'!H5</x:f>
        <x:v>0.17378113691576458</x:v>
      </x:c>
      <x:c r="I6" s="28" t="n">
        <x:f>'05_INCOME_STATEMENT'!I19/'05_INCOME_STATEMENT'!I5</x:f>
        <x:v>0.1697772818773745</x:v>
      </x:c>
    </x:row>
    <x:row r="7">
      <x:c r="A7" t="s">
        <x:v>206</x:v>
      </x:c>
      <x:c r="B7" s="28" t="n">
        <x:f>'07_CASH_FLOW'!B11/'05_INCOME_STATEMENT'!B8</x:f>
        <x:v>1.5506145251396648</x:v>
      </x:c>
      <x:c r="C7" s="28" t="n">
        <x:f>'07_CASH_FLOW'!C11/'05_INCOME_STATEMENT'!C8</x:f>
        <x:v>1.379813538710985</x:v>
      </x:c>
      <x:c r="D7" s="28" t="n">
        <x:f>'07_CASH_FLOW'!D11/'05_INCOME_STATEMENT'!D8</x:f>
        <x:v>1.4415393113607071</x:v>
      </x:c>
      <x:c r="E7" s="28" t="n">
        <x:f>'07_CASH_FLOW'!E11/'05_INCOME_STATEMENT'!E8</x:f>
        <x:v>1.5731992583008645</x:v>
      </x:c>
      <x:c r="F7" s="28" t="n">
        <x:f>'07_CASH_FLOW'!F11/'05_INCOME_STATEMENT'!F8</x:f>
        <x:v>1.5683558565523101</x:v>
      </x:c>
      <x:c r="G7" s="28" t="n">
        <x:f>'07_CASH_FLOW'!G11/'05_INCOME_STATEMENT'!G8</x:f>
        <x:v>1.5728034667235051</x:v>
      </x:c>
      <x:c r="H7" s="28" t="n">
        <x:f>'07_CASH_FLOW'!H11/'05_INCOME_STATEMENT'!H8</x:f>
        <x:v>1.5731442287322315</x:v>
      </x:c>
      <x:c r="I7" s="28" t="n">
        <x:f>'07_CASH_FLOW'!I11/'05_INCOME_STATEMENT'!I8</x:f>
        <x:v>1.5739191581740737</x:v>
      </x:c>
    </x:row>
    <x:row r="8">
      <x:c r="A8" t="s">
        <x:v>330</x:v>
      </x:c>
      <x:c r="B8" s="28" t="n">
        <x:f>ABS('07_CASH_FLOW'!B13)/'05_INCOME_STATEMENT'!B5</x:f>
        <x:v>0.34780856423173806</x:v>
      </x:c>
      <x:c r="C8" s="28" t="n">
        <x:f>ABS('07_CASH_FLOW'!C13)/'05_INCOME_STATEMENT'!C5</x:f>
        <x:v>0.4777451300467951</x:v>
      </x:c>
      <x:c r="D8" s="28" t="n">
        <x:f>ABS('07_CASH_FLOW'!D13)/'05_INCOME_STATEMENT'!D5</x:f>
        <x:v>0.5647650816984225</x:v>
      </x:c>
      <x:c r="E8" s="28" t="n">
        <x:f>ABS('07_CASH_FLOW'!E13)/'05_INCOME_STATEMENT'!E5</x:f>
        <x:v>0.6131831497919583</x:v>
      </x:c>
      <x:c r="F8" s="28" t="n">
        <x:f>ABS('07_CASH_FLOW'!F13)/'05_INCOME_STATEMENT'!F5</x:f>
        <x:v>0.6083341097864144</x:v>
      </x:c>
      <x:c r="G8" s="28" t="n">
        <x:f>ABS('07_CASH_FLOW'!G13)/'05_INCOME_STATEMENT'!G5</x:f>
        <x:v>0.5877624249144101</x:v>
      </x:c>
      <x:c r="H8" s="28" t="n">
        <x:f>ABS('07_CASH_FLOW'!H13)/'05_INCOME_STATEMENT'!H5</x:f>
        <x:v>0.5623026121955559</x:v>
      </x:c>
      <x:c r="I8" s="28" t="n">
        <x:f>ABS('07_CASH_FLOW'!I13)/'05_INCOME_STATEMENT'!I5</x:f>
        <x:v>0.5403908726997838</x:v>
      </x:c>
    </x:row>
    <x:row r="9">
      <x:c r="A9" t="s">
        <x:v>331</x:v>
      </x:c>
      <x:c r="B9" t="n">
        <x:f>'07_CASH_FLOW'!B11+'07_CASH_FLOW'!B15</x:f>
        <x:v>-662</x:v>
      </x:c>
      <x:c r="C9" t="n">
        <x:f>'07_CASH_FLOW'!C11+'07_CASH_FLOW'!C15</x:f>
        <x:v>-3785</x:v>
      </x:c>
      <x:c r="D9" t="n">
        <x:f>'07_CASH_FLOW'!D11+'07_CASH_FLOW'!D15</x:f>
        <x:v>3672</x:v>
      </x:c>
      <x:c r="E9" s="53" t="n">
        <x:f>'07_CASH_FLOW'!E11+'07_CASH_FLOW'!E15</x:f>
        <x:v>-3102.4958012984916</x:v>
      </x:c>
      <x:c r="F9" s="53" t="n">
        <x:f>'07_CASH_FLOW'!F11+'07_CASH_FLOW'!F15</x:f>
        <x:v>-3179.225685196183</x:v>
      </x:c>
      <x:c r="G9" s="53" t="n">
        <x:f>'07_CASH_FLOW'!G11+'07_CASH_FLOW'!G15</x:f>
        <x:v>-2846.494636858264</x:v>
      </x:c>
      <x:c r="H9" s="53" t="n">
        <x:f>'07_CASH_FLOW'!H11+'07_CASH_FLOW'!H15</x:f>
        <x:v>-2367.2524399586255</x:v>
      </x:c>
      <x:c r="I9" s="53" t="n">
        <x:f>'07_CASH_FLOW'!I11+'07_CASH_FLOW'!I15</x:f>
        <x:v>-1898.9209883962867</x:v>
      </x:c>
    </x:row>
    <x:row r="10">
      <x:c r="A10" t="s">
        <x:v>332</x:v>
      </x:c>
      <x:c r="B10" t="n">
        <x:f>'05_INCOME_STATEMENT'!B8+'07_CASH_FLOW'!B5</x:f>
        <x:v>6536</x:v>
      </x:c>
      <x:c r="C10" t="n">
        <x:f>'05_INCOME_STATEMENT'!C8+'07_CASH_FLOW'!C5</x:f>
        <x:v>7109</x:v>
      </x:c>
      <x:c r="D10" t="n">
        <x:f>'05_INCOME_STATEMENT'!D8+'07_CASH_FLOW'!D5</x:f>
        <x:v>7678</x:v>
      </x:c>
      <x:c r="E10" s="53" t="n">
        <x:f>'05_INCOME_STATEMENT'!E8+'07_CASH_FLOW'!E5</x:f>
        <x:v>8534.387502780097</x:v>
      </x:c>
      <x:c r="F10" s="53" t="n">
        <x:f>'05_INCOME_STATEMENT'!F8+'07_CASH_FLOW'!F5</x:f>
        <x:v>9269.742279478674</x:v>
      </x:c>
      <x:c r="G10" s="53" t="n">
        <x:f>'05_INCOME_STATEMENT'!G8+'07_CASH_FLOW'!G5</x:f>
        <x:v>9999.074953405403</x:v>
      </x:c>
      <x:c r="H10" s="53" t="n">
        <x:f>'05_INCOME_STATEMENT'!H8+'07_CASH_FLOW'!H5</x:f>
        <x:v>10727.013721890604</x:v>
      </x:c>
      <x:c r="I10" s="53" t="n">
        <x:f>'05_INCOME_STATEMENT'!I8+'07_CASH_FLOW'!I5</x:f>
        <x:v>11443.932177171584</x:v>
      </x:c>
    </x:row>
    <x:row r="11">
      <x:c r="A11" t="s">
        <x:v>333</x:v>
      </x:c>
      <x:c r="B11" t="n">
        <x:f>'06_BALANCE_SHEET'!B21</x:f>
        <x:v>47072</x:v>
      </x:c>
      <x:c r="C11" t="n">
        <x:f>'06_BALANCE_SHEET'!C21</x:f>
        <x:v>47539</x:v>
      </x:c>
      <x:c r="D11" t="n">
        <x:f>'06_BALANCE_SHEET'!D21</x:f>
        <x:v>46755</x:v>
      </x:c>
      <x:c r="E11" s="30" t="n">
        <x:f>'06_BALANCE_SHEET'!E21</x:f>
        <x:v>53640.43082737349</x:v>
      </x:c>
      <x:c r="F11" s="30" t="n">
        <x:f>'06_BALANCE_SHEET'!F21</x:f>
        <x:v>60851.98886071966</x:v>
      </x:c>
      <x:c r="G11" s="30" t="n">
        <x:f>'06_BALANCE_SHEET'!G21</x:f>
        <x:v>68111.84747862161</x:v>
      </x:c>
      <x:c r="H11" s="30" t="n">
        <x:f>'06_BALANCE_SHEET'!H21</x:f>
        <x:v>75238.52064228042</x:v>
      </x:c>
      <x:c r="I11" s="30" t="n">
        <x:f>'06_BALANCE_SHEET'!I21</x:f>
        <x:v>82236.15728290583</x:v>
      </x:c>
    </x:row>
    <x:row r="12">
      <x:c r="A12" t="s">
        <x:v>334</x:v>
      </x:c>
      <x:c r="B12" t="n">
        <x:f>'06_BALANCE_SHEET'!B21-'06_BALANCE_SHEET'!B14</x:f>
        <x:v>46513</x:v>
      </x:c>
      <x:c r="C12" t="n">
        <x:f>'06_BALANCE_SHEET'!C21-'06_BALANCE_SHEET'!C14</x:f>
        <x:v>46361</x:v>
      </x:c>
      <x:c r="D12" t="n">
        <x:f>'06_BALANCE_SHEET'!D21-'06_BALANCE_SHEET'!D14</x:f>
        <x:v>46380</x:v>
      </x:c>
      <x:c r="E12" s="30" t="n">
        <x:f>'06_BALANCE_SHEET'!E21-'06_BALANCE_SHEET'!E14</x:f>
        <x:v>53140.43082737349</x:v>
      </x:c>
      <x:c r="F12" s="30" t="n">
        <x:f>'06_BALANCE_SHEET'!F21-'06_BALANCE_SHEET'!F14</x:f>
        <x:v>60351.98886071966</x:v>
      </x:c>
      <x:c r="G12" s="30" t="n">
        <x:f>'06_BALANCE_SHEET'!G21-'06_BALANCE_SHEET'!G14</x:f>
        <x:v>67611.84747862161</x:v>
      </x:c>
      <x:c r="H12" s="30" t="n">
        <x:f>'06_BALANCE_SHEET'!H21-'06_BALANCE_SHEET'!H14</x:f>
        <x:v>74738.52064228042</x:v>
      </x:c>
      <x:c r="I12" s="30" t="n">
        <x:f>'06_BALANCE_SHEET'!I21-'06_BALANCE_SHEET'!I14</x:f>
        <x:v>81736.15728290583</x:v>
      </x:c>
    </x:row>
    <x:row r="13">
      <x:c r="A13" t="s">
        <x:v>335</x:v>
      </x:c>
      <x:c r="B13" s="28" t="n">
        <x:f>B12/B10</x:f>
        <x:v>7.1164320685434515</x:v>
      </x:c>
      <x:c r="C13" s="28" t="n">
        <x:f>C12/C10</x:f>
        <x:v>6.521451680967787</x:v>
      </x:c>
      <x:c r="D13" s="28" t="n">
        <x:f>D12/D10</x:f>
        <x:v>6.04063558218286</x:v>
      </x:c>
      <x:c r="E13" s="30" t="n">
        <x:f>E12/E10</x:f>
        <x:v>6.226625028458442</x:v>
      </x:c>
      <x:c r="F13" s="30" t="n">
        <x:f>F12/F10</x:f>
        <x:v>6.510643666364565</x:v>
      </x:c>
      <x:c r="G13" s="30" t="n">
        <x:f>G12/G10</x:f>
        <x:v>6.761810246816374</x:v>
      </x:c>
      <x:c r="H13" s="30" t="n">
        <x:f>H12/H10</x:f>
        <x:v>6.967318452269862</x:v>
      </x:c>
      <x:c r="I13" s="30" t="n">
        <x:f>I12/I10</x:f>
        <x:v>7.142314024365991</x:v>
      </x:c>
    </x:row>
    <x:row r="14">
      <x:c r="A14" t="s">
        <x:v>336</x:v>
      </x:c>
      <x:c r="B14" s="28" t="n">
        <x:f>'05_INCOME_STATEMENT'!B8/ABS('05_INCOME_STATEMENT'!B12)</x:f>
        <x:v>2.6139018691588785</x:v>
      </x:c>
      <x:c r="C14" s="28" t="n">
        <x:f>'05_INCOME_STATEMENT'!C8/ABS('05_INCOME_STATEMENT'!C12)</x:f>
        <x:v>2.7304925290536803</x:v>
      </x:c>
      <x:c r="D14" s="28" t="n">
        <x:f>'05_INCOME_STATEMENT'!D8/ABS('05_INCOME_STATEMENT'!D12)</x:f>
        <x:v>3.1853372434017597</x:v>
      </x:c>
      <x:c r="E14" s="30" t="n">
        <x:f>'05_INCOME_STATEMENT'!E8/ABS('05_INCOME_STATEMENT'!E12)</x:f>
        <x:v>3.3376530904811372</x:v>
      </x:c>
      <x:c r="F14" s="30" t="n">
        <x:f>'05_INCOME_STATEMENT'!F8/ABS('05_INCOME_STATEMENT'!F12)</x:f>
        <x:v>3.064558512284386</x:v>
      </x:c>
      <x:c r="G14" s="30" t="n">
        <x:f>'05_INCOME_STATEMENT'!G8/ABS('05_INCOME_STATEMENT'!G12)</x:f>
        <x:v>2.827063755711108</x:v>
      </x:c>
      <x:c r="H14" s="30" t="n">
        <x:f>'05_INCOME_STATEMENT'!H8/ABS('05_INCOME_STATEMENT'!H12)</x:f>
        <x:v>2.69727298220238</x:v>
      </x:c>
      <x:c r="I14" s="30" t="n">
        <x:f>'05_INCOME_STATEMENT'!I8/ABS('05_INCOME_STATEMENT'!I12)</x:f>
        <x:v>2.5929912257730567</x:v>
      </x:c>
    </x:row>
    <x:row r="15">
      <x:c r="A15" t="s">
        <x:v>337</x:v>
      </x:c>
      <x:c r="B15" s="28" t="n">
        <x:f>'06_BALANCE_SHEET'!B21/'06_BALANCE_SHEET'!B34</x:f>
        <x:v>1.5747357152415362</x:v>
      </x:c>
      <x:c r="C15" s="28" t="n">
        <x:f>'06_BALANCE_SHEET'!C21/'06_BALANCE_SHEET'!C34</x:f>
        <x:v>1.2567810500713794</x:v>
      </x:c>
      <x:c r="D15" s="28" t="n">
        <x:f>'06_BALANCE_SHEET'!D21/'06_BALANCE_SHEET'!D34</x:f>
        <x:v>1.188787185354691</x:v>
      </x:c>
      <x:c r="E15" s="30" t="n">
        <x:f>'06_BALANCE_SHEET'!E21/'06_BALANCE_SHEET'!E34</x:f>
        <x:v>1.3029652730591719</x:v>
      </x:c>
      <x:c r="F15" s="30" t="n">
        <x:f>'06_BALANCE_SHEET'!F21/'06_BALANCE_SHEET'!F34</x:f>
        <x:v>1.4129918997472048</x:v>
      </x:c>
      <x:c r="G15" s="30" t="n">
        <x:f>'06_BALANCE_SHEET'!G21/'06_BALANCE_SHEET'!G34</x:f>
        <x:v>1.5133341035922419</x:v>
      </x:c>
      <x:c r="H15" s="30" t="n">
        <x:f>'06_BALANCE_SHEET'!H21/'06_BALANCE_SHEET'!H34</x:f>
        <x:v>1.6003873999027203</x:v>
      </x:c>
      <x:c r="I15" s="30" t="n">
        <x:f>'06_BALANCE_SHEET'!I21/'06_BALANCE_SHEET'!I34</x:f>
        <x:v>1.6755835258358192</x:v>
      </x:c>
    </x:row>
    <x:row r="16">
      <x:c r="A16" t="s">
        <x:v>235</x:v>
      </x:c>
      <x:c r="B16" s="28" t="n">
        <x:f>'06_BALANCE_SHEET'!B13/'05_INCOME_STATEMENT'!B5</x:f>
        <x:v>0.1720403022670025</x:v>
      </x:c>
      <x:c r="C16" s="28" t="n">
        <x:f>'06_BALANCE_SHEET'!C13/'05_INCOME_STATEMENT'!C5</x:f>
        <x:v>0.2226575253019915</x:v>
      </x:c>
      <x:c r="D16" s="28" t="n">
        <x:f>'06_BALANCE_SHEET'!D13/'05_INCOME_STATEMENT'!D5</x:f>
        <x:v>0.21863515576412054</x:v>
      </x:c>
      <x:c r="E16" t="n">
        <x:f>'06_BALANCE_SHEET'!E13/'05_INCOME_STATEMENT'!E5</x:f>
        <x:v>0.21499999999999997</x:v>
      </x:c>
      <x:c r="F16" t="n">
        <x:f>'06_BALANCE_SHEET'!F13/'05_INCOME_STATEMENT'!F5</x:f>
        <x:v>0.215</x:v>
      </x:c>
      <x:c r="G16" t="n">
        <x:f>'06_BALANCE_SHEET'!G13/'05_INCOME_STATEMENT'!G5</x:f>
        <x:v>0.215</x:v>
      </x:c>
      <x:c r="H16" t="n">
        <x:f>'06_BALANCE_SHEET'!H13/'05_INCOME_STATEMENT'!H5</x:f>
        <x:v>0.215</x:v>
      </x:c>
      <x:c r="I16" t="n">
        <x:f>'06_BALANCE_SHEET'!I13/'05_INCOME_STATEMENT'!I5</x:f>
        <x:v>0.215</x:v>
      </x:c>
    </x:row>
    <x:row r="17">
      <x:c r="A17" t="s">
        <x:v>236</x:v>
      </x:c>
      <x:c r="B17" s="28" t="n">
        <x:f>'06_BALANCE_SHEET'!B22/'05_INCOME_STATEMENT'!B5</x:f>
        <x:v>0.20534005037783376</x:v>
      </x:c>
      <x:c r="C17" s="28" t="n">
        <x:f>'06_BALANCE_SHEET'!C22/'05_INCOME_STATEMENT'!C5</x:f>
        <x:v>0.24333442159103275</x:v>
      </x:c>
      <x:c r="D17" s="28" t="n">
        <x:f>'06_BALANCE_SHEET'!D22/'05_INCOME_STATEMENT'!D5</x:f>
        <x:v>0.2854639000395771</x:v>
      </x:c>
      <x:c r="E17" t="n">
        <x:f>'06_BALANCE_SHEET'!E22/'05_INCOME_STATEMENT'!E5</x:f>
        <x:v>0.285</x:v>
      </x:c>
      <x:c r="F17" t="n">
        <x:f>'06_BALANCE_SHEET'!F22/'05_INCOME_STATEMENT'!F5</x:f>
        <x:v>0.285</x:v>
      </x:c>
      <x:c r="G17" t="n">
        <x:f>'06_BALANCE_SHEET'!G22/'05_INCOME_STATEMENT'!G5</x:f>
        <x:v>0.285</x:v>
      </x:c>
      <x:c r="H17" t="n">
        <x:f>'06_BALANCE_SHEET'!H22/'05_INCOME_STATEMENT'!H5</x:f>
        <x:v>0.285</x:v>
      </x:c>
      <x:c r="I17" t="n">
        <x:f>'06_BALANCE_SHEET'!I22/'05_INCOME_STATEMENT'!I5</x:f>
        <x:v>0.285</x:v>
      </x:c>
    </x:row>
    <x:row r="18">
      <x:c r="A18" t="s">
        <x:v>338</x:v>
      </x:c>
      <x:c r="B18" s="28" t="n">
        <x:f>'05_INCOME_STATEMENT'!B19/'06_BALANCE_SHEET'!B18</x:f>
        <x:v>0.022547673531655224</x:v>
      </x:c>
      <x:c r="C18" s="28" t="n">
        <x:f>'05_INCOME_STATEMENT'!C19/'06_BALANCE_SHEET'!C18</x:f>
        <x:v>0.026503157145266156</x:v>
      </x:c>
      <x:c r="D18" s="28" t="n">
        <x:f>'05_INCOME_STATEMENT'!D19/'06_BALANCE_SHEET'!D18</x:f>
        <x:v>0.029949852698072606</x:v>
      </x:c>
      <x:c r="E18" s="29" t="n">
        <x:f>'05_INCOME_STATEMENT'!E19/'06_BALANCE_SHEET'!E18</x:f>
        <x:v>0.030916956406211994</x:v>
      </x:c>
      <x:c r="F18" s="29" t="n">
        <x:f>'05_INCOME_STATEMENT'!F19/'06_BALANCE_SHEET'!F18</x:f>
        <x:v>0.02921596507942627</x:v>
      </x:c>
      <x:c r="G18" s="29" t="n">
        <x:f>'05_INCOME_STATEMENT'!G19/'06_BALANCE_SHEET'!G18</x:f>
        <x:v>0.027525382042508435</x:v>
      </x:c>
      <x:c r="H18" s="29" t="n">
        <x:f>'05_INCOME_STATEMENT'!H19/'06_BALANCE_SHEET'!H18</x:f>
        <x:v>0.026350872445040162</x:v>
      </x:c>
      <x:c r="I18" s="29" t="n">
        <x:f>'05_INCOME_STATEMENT'!I19/'06_BALANCE_SHEET'!I18</x:f>
        <x:v>0.02532770004314492</x:v>
      </x:c>
    </x:row>
    <x:row r="19">
      <x:c r="A19" t="s">
        <x:v>339</x:v>
      </x:c>
      <x:c r="B19" s="28" t="n">
        <x:f>'05_INCOME_STATEMENT'!B19/'06_BALANCE_SHEET'!B34</x:f>
        <x:v>0.07416700120433561</x:v>
      </x:c>
      <x:c r="C19" s="28" t="n">
        <x:f>'05_INCOME_STATEMENT'!C19/'06_BALANCE_SHEET'!C34</x:f>
        <x:v>0.07478982710305081</x:v>
      </x:c>
      <x:c r="D19" s="28" t="n">
        <x:f>'05_INCOME_STATEMENT'!D19/'06_BALANCE_SHEET'!D34</x:f>
        <x:v>0.0824561403508772</x:v>
      </x:c>
      <x:c r="E19" s="29" t="n">
        <x:f>'05_INCOME_STATEMENT'!E19/'06_BALANCE_SHEET'!E34</x:f>
        <x:v>0.08929110378189414</x:v>
      </x:c>
      <x:c r="F19" s="29" t="n">
        <x:f>'05_INCOME_STATEMENT'!F19/'06_BALANCE_SHEET'!F34</x:f>
        <x:v>0.08814783517226511</x:v>
      </x:c>
      <x:c r="G19" s="29" t="n">
        <x:f>'05_INCOME_STATEMENT'!G19/'06_BALANCE_SHEET'!G34</x:f>
        <x:v>0.08628500666576407</x:v>
      </x:c>
      <x:c r="H19" s="29" t="n">
        <x:f>'05_INCOME_STATEMENT'!H19/'06_BALANCE_SHEET'!H34</x:f>
        <x:v>0.08529129174104522</x:v>
      </x:c>
      <x:c r="I19" s="29" t="n">
        <x:f>'05_INCOME_STATEMENT'!I19/'06_BALANCE_SHEET'!I34</x:f>
        <x:v>0.08420783296888076</x:v>
      </x:c>
    </x:row>
    <x:row r="20">
      <x:c r="A20" t="s">
        <x:v>340</x:v>
      </x:c>
      <x:c r="B20" s="28" t="n">
        <x:f>'05_INCOME_STATEMENT'!B5/'06_BALANCE_SHEET'!B18</x:f>
        <x:v>0.20188151538265955</x:v>
      </x:c>
      <x:c r="C20" s="28" t="n">
        <x:f>'05_INCOME_STATEMENT'!C5/'06_BALANCE_SHEET'!C18</x:f>
        <x:v>0.1721721534166495</x:v>
      </x:c>
      <x:c r="D20" s="28" t="n">
        <x:f>'05_INCOME_STATEMENT'!D5/'06_BALANCE_SHEET'!D18</x:f>
        <x:v>0.16334352287104847</x:v>
      </x:c>
      <x:c r="E20" s="29" t="n">
        <x:f>'05_INCOME_STATEMENT'!E5/'06_BALANCE_SHEET'!E18</x:f>
        <x:v>0.16065973893766083</x:v>
      </x:c>
      <x:c r="F20" s="29" t="n">
        <x:f>'05_INCOME_STATEMENT'!F5/'06_BALANCE_SHEET'!F18</x:f>
        <x:v>0.15730234245455552</x:v>
      </x:c>
      <x:c r="G20" s="29" t="n">
        <x:f>'05_INCOME_STATEMENT'!G5/'06_BALANCE_SHEET'!G18</x:f>
        <x:v>0.1542842146507664</x:v>
      </x:c>
      <x:c r="H20" s="29" t="n">
        <x:f>'05_INCOME_STATEMENT'!H5/'06_BALANCE_SHEET'!H18</x:f>
        <x:v>0.15163252417788584</x:v>
      </x:c>
      <x:c r="I20" s="29" t="n">
        <x:f>'05_INCOME_STATEMENT'!I5/'06_BALANCE_SHEET'!I18</x:f>
        <x:v>0.14918191505409084</x:v>
      </x:c>
    </x:row>
    <x:row r="21">
      <x:c r="E21" s="29"/>
      <x:c r="F21" s="29"/>
      <x:c r="G21" s="29"/>
      <x:c r="H21" s="29"/>
      <x:c r="I21" s="29"/>
    </x:row>
  </x:sheetData>
  <x:mergeCells>
    <x:mergeCell ref="A1:I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RowHeight="16"/>
  <x:cols>
    <x:col min="1" max="1" width="30.33203125" customWidth="1"/>
    <x:col min="2" max="2" width="14.33203125" customWidth="1"/>
    <x:col min="3" max="3" width="14.83203125" customWidth="1"/>
    <x:col min="4" max="4" width="15.83203125" customWidth="1"/>
  </x:cols>
  <x:sheetData>
    <x:row r="1">
      <x:c r="A1" s="15" t="s">
        <x:v>341</x:v>
      </x:c>
      <x:c r="B1" s="15"/>
      <x:c r="C1" s="15"/>
      <x:c r="D1" s="15"/>
    </x:row>
    <x:row r="3">
      <x:c r="A3" s="25" t="s">
        <x:v>342</x:v>
      </x:c>
      <x:c r="B3" s="25" t="s">
        <x:v>51</x:v>
      </x:c>
      <x:c r="C3" s="25" t="s">
        <x:v>54</x:v>
      </x:c>
      <x:c r="D3" s="25" t="s">
        <x:v>343</x:v>
      </x:c>
    </x:row>
    <x:row r="4">
      <x:c r="A4" t="s">
        <x:v>187</x:v>
      </x:c>
      <x:c r="B4" s="79">
        <x:v>0.08</x:v>
      </x:c>
      <x:c r="C4" s="79">
        <x:v>0.1</x:v>
      </x:c>
      <x:c r="D4" s="79">
        <x:v>0.05</x:v>
      </x:c>
    </x:row>
    <x:row r="5">
      <x:c r="A5" t="s">
        <x:v>188</x:v>
      </x:c>
      <x:c r="B5" s="79">
        <x:v>0.318</x:v>
      </x:c>
      <x:c r="C5" s="79">
        <x:v>0.32500000000000001</x:v>
      </x:c>
      <x:c r="D5" s="79">
        <x:v>0.30499999999999999</x:v>
      </x:c>
    </x:row>
    <x:row r="6">
      <x:c r="A6" t="s">
        <x:v>321</x:v>
      </x:c>
      <x:c r="B6" s="86">
        <x:v>13000</x:v>
      </x:c>
      <x:c r="C6" s="86">
        <x:v>12500</x:v>
      </x:c>
      <x:c r="D6" s="86">
        <x:v>13500</x:v>
      </x:c>
    </x:row>
    <x:row r="7">
      <x:c r="A7" t="s">
        <x:v>231</x:v>
      </x:c>
      <x:c r="B7" s="79">
        <x:v>3.7999999999999999E-2</x:v>
      </x:c>
      <x:c r="C7" s="79">
        <x:v>3.5000000000000003E-2</x:v>
      </x:c>
      <x:c r="D7" s="79">
        <x:v>4.2999999999999997E-2</x:v>
      </x:c>
    </x:row>
    <x:row r="8">
      <x:c r="A8" t="s">
        <x:v>244</x:v>
      </x:c>
      <x:c r="B8" s="79">
        <x:v>0.5</x:v>
      </x:c>
      <x:c r="C8" s="79">
        <x:v>0.45</x:v>
      </x:c>
      <x:c r="D8" s="79">
        <x:v>0.5</x:v>
      </x:c>
    </x:row>
    <x:row r="9">
      <x:c r="A9" t="s">
        <x:v>245</x:v>
      </x:c>
      <x:c r="B9" s="86">
        <x:v>500</x:v>
      </x:c>
      <x:c r="C9" s="86">
        <x:v>500</x:v>
      </x:c>
      <x:c r="D9" s="86">
        <x:v>500</x:v>
      </x:c>
    </x:row>
    <x:row r="12">
      <x:c r="A12" s="25" t="s">
        <x:v>344</x:v>
      </x:c>
      <x:c r="B12" s="25" t="s">
        <x:v>51</x:v>
      </x:c>
      <x:c r="C12" s="25" t="s">
        <x:v>54</x:v>
      </x:c>
      <x:c r="D12" s="25" t="s">
        <x:v>343</x:v>
      </x:c>
    </x:row>
    <x:row r="13">
      <x:c r="A13" t="s">
        <x:v>319</x:v>
      </x:c>
      <x:c r="B13" s="66" t="n">
        <x:f>'05_INCOME_STATEMENT'!D5*(1+B4)</x:f>
        <x:v>19101.960000000003</x:v>
      </x:c>
      <x:c r="C13" s="66" t="n">
        <x:f>'05_INCOME_STATEMENT'!D5*(1+C4)</x:f>
        <x:v>19455.7</x:v>
      </x:c>
      <x:c r="D13" s="66" t="n">
        <x:f>'05_INCOME_STATEMENT'!D5*(1+D4)</x:f>
        <x:v>18571.350000000002</x:v>
      </x:c>
    </x:row>
    <x:row r="14">
      <x:c r="A14" t="s">
        <x:v>320</x:v>
      </x:c>
      <x:c r="B14" s="66" t="n">
        <x:f>B13*B5</x:f>
        <x:v>6074.423280000001</x:v>
      </x:c>
      <x:c r="C14" s="66" t="n">
        <x:f>C13*C5</x:f>
        <x:v>6323.102500000001</x:v>
      </x:c>
      <x:c r="D14" s="66" t="n">
        <x:f>D13*D5</x:f>
        <x:v>5664.261750000001</x:v>
      </x:c>
    </x:row>
    <x:row r="15">
      <x:c r="A15" t="s">
        <x:v>345</x:v>
      </x:c>
      <x:c r="B15" s="66" t="n">
        <x:f>B6*'04_DRIVERS'!$C$16</x:f>
        <x:v>11712.999999999998</x:v>
      </x:c>
      <x:c r="C15" s="66" t="n">
        <x:f>C6*'04_DRIVERS'!$C$16</x:f>
        <x:v>11262.499999999998</x:v>
      </x:c>
      <x:c r="D15" s="66" t="n">
        <x:f>D6*'04_DRIVERS'!$C$16</x:f>
        <x:v>12163.499999999998</x:v>
      </x:c>
    </x:row>
    <x:row r="16">
      <x:c r="A16" t="s">
        <x:v>346</x:v>
      </x:c>
      <x:c r="B16" s="66" t="n">
        <x:f>'06_BALANCE_SHEET'!$D$8*'04_DRIVERS'!$C$17</x:f>
        <x:v>2188.434222780095</x:v>
      </x:c>
      <x:c r="C16" s="66" t="n">
        <x:f>'06_BALANCE_SHEET'!$D$8*'04_DRIVERS'!$C$17</x:f>
        <x:v>2188.434222780095</x:v>
      </x:c>
      <x:c r="D16" s="66" t="n">
        <x:f>'06_BALANCE_SHEET'!$D$8*'04_DRIVERS'!$C$17</x:f>
        <x:v>2188.434222780095</x:v>
      </x:c>
    </x:row>
    <x:row r="17">
      <x:c r="A17" t="s">
        <x:v>347</x:v>
      </x:c>
      <x:c r="B17" s="66" t="n">
        <x:f>B6*'04_DRIVERS'!$C$19</x:f>
        <x:v>5200</x:v>
      </x:c>
      <x:c r="C17" s="66" t="n">
        <x:f>C6*'04_DRIVERS'!$C$19</x:f>
        <x:v>5000</x:v>
      </x:c>
      <x:c r="D17" s="66" t="n">
        <x:f>D6*'04_DRIVERS'!$C$19</x:f>
        <x:v>5400</x:v>
      </x:c>
    </x:row>
    <x:row r="18">
      <x:c r="A18" t="s">
        <x:v>348</x:v>
      </x:c>
      <x:c r="B18" s="66" t="n">
        <x:f>'09_DEBT'!B9*6.25%</x:f>
        <x:v>2922.1875</x:v>
      </x:c>
      <x:c r="C18" s="66" t="n">
        <x:f>'09_DEBT'!B9*6.25%</x:f>
        <x:v>2922.1875</x:v>
      </x:c>
      <x:c r="D18" s="66" t="n">
        <x:f>'09_DEBT'!B9*6.25%</x:f>
        <x:v>2922.1875</x:v>
      </x:c>
    </x:row>
    <x:row r="19">
      <x:c r="A19" t="s">
        <x:v>349</x:v>
      </x:c>
      <x:c r="B19" s="66" t="n">
        <x:f>'09_DEBT'!B9+B17-B18</x:f>
        <x:v>49032.8125</x:v>
      </x:c>
      <x:c r="C19" s="66" t="n">
        <x:f>'09_DEBT'!B9+C17-C18</x:f>
        <x:v>48832.8125</x:v>
      </x:c>
      <x:c r="D19" s="66" t="n">
        <x:f>'09_DEBT'!B9+D17-D18</x:f>
        <x:v>49232.8125</x:v>
      </x:c>
    </x:row>
    <x:row r="20">
      <x:c r="A20" t="s">
        <x:v>350</x:v>
      </x:c>
      <x:c r="B20" s="66" t="n">
        <x:f>('09_DEBT'!B9+B19)/2</x:f>
        <x:v>47893.90625</x:v>
      </x:c>
      <x:c r="C20" s="66" t="n">
        <x:f>('09_DEBT'!B9+C19)/2</x:f>
        <x:v>47793.90625</x:v>
      </x:c>
      <x:c r="D20" s="66" t="n">
        <x:f>('09_DEBT'!B9+D19)/2</x:f>
        <x:v>47993.90625</x:v>
      </x:c>
    </x:row>
    <x:row r="21">
      <x:c r="A21" t="s">
        <x:v>323</x:v>
      </x:c>
      <x:c r="B21" s="66" t="n">
        <x:f>B20*B7</x:f>
        <x:v>1819.9684375</x:v>
      </x:c>
      <x:c r="C21" s="66" t="n">
        <x:f>C20*C7</x:f>
        <x:v>1672.78671875</x:v>
      </x:c>
      <x:c r="D21" s="66" t="n">
        <x:f>D20*D7</x:f>
        <x:v>2063.7379687499997</x:v>
      </x:c>
    </x:row>
    <x:row r="22">
      <x:c r="A22" t="s">
        <x:v>351</x:v>
      </x:c>
      <x:c r="B22" s="66" t="n">
        <x:f>B14+'05_INCOME_STATEMENT'!E11-B21+'05_INCOME_STATEMENT'!E13</x:f>
        <x:v>4712.734842500001</x:v>
      </x:c>
      <x:c r="C22" s="66" t="n">
        <x:f>C14+'05_INCOME_STATEMENT'!F11-C21+'05_INCOME_STATEMENT'!F13</x:f>
        <x:v>5110.944181250001</x:v>
      </x:c>
      <x:c r="D22" s="66" t="n">
        <x:f>D14+'05_INCOME_STATEMENT'!G11-D21+'05_INCOME_STATEMENT'!G13</x:f>
        <x:v>4063.5710332500007</x:v>
      </x:c>
    </x:row>
    <x:row r="23">
      <x:c r="A23" t="s">
        <x:v>324</x:v>
      </x:c>
      <x:c r="B23" s="66" t="n">
        <x:f>B22*(1-'04_DRIVERS'!$C$8)</x:f>
        <x:v>3675.933177150001</x:v>
      </x:c>
      <x:c r="C23" s="66" t="n">
        <x:f>C22*(1-'04_DRIVERS'!$C$8)</x:f>
        <x:v>3986.5364613750007</x:v>
      </x:c>
      <x:c r="D23" s="66" t="n">
        <x:f>D22*(1-'04_DRIVERS'!$C$8)</x:f>
        <x:v>3169.585405935001</x:v>
      </x:c>
    </x:row>
    <x:row r="24">
      <x:c r="A24" t="s">
        <x:v>352</x:v>
      </x:c>
      <x:c r="B24" s="66" t="n">
        <x:f>-B23*B8</x:f>
        <x:v>-1837.9665885750005</x:v>
      </x:c>
      <x:c r="C24" s="66" t="n">
        <x:f>-C23*C8</x:f>
        <x:v>-1793.9414076187504</x:v>
      </x:c>
      <x:c r="D24" s="66" t="n">
        <x:f>-D23*D8</x:f>
        <x:v>-1584.7927029675004</x:v>
      </x:c>
    </x:row>
    <x:row r="26">
      <x:c r="A26" s="25" t="s">
        <x:v>353</x:v>
      </x:c>
      <x:c r="B26" s="25" t="s">
        <x:v>51</x:v>
      </x:c>
      <x:c r="C26" s="25" t="s">
        <x:v>54</x:v>
      </x:c>
      <x:c r="D26" s="25" t="s">
        <x:v>343</x:v>
      </x:c>
    </x:row>
    <x:row r="27">
      <x:c r="A27" t="s">
        <x:v>354</x:v>
      </x:c>
      <x:c r="B27" s="66" t="n">
        <x:f>B13*'04_DRIVERS'!$B$25</x:f>
        <x:v>611.2627200000001</x:v>
      </x:c>
      <x:c r="C27" s="66" t="n">
        <x:f>C13*'04_DRIVERS'!$B$25</x:f>
        <x:v>622.5824</x:v>
      </x:c>
      <x:c r="D27" s="66" t="n">
        <x:f>D13*'04_DRIVERS'!$B$25</x:f>
        <x:v>594.2832000000001</x:v>
      </x:c>
    </x:row>
    <x:row r="28">
      <x:c r="A28" t="s">
        <x:v>355</x:v>
      </x:c>
      <x:c r="B28" s="66" t="n">
        <x:f>B13*'04_DRIVERS'!$B$26</x:f>
        <x:v>4106.9214</x:v>
      </x:c>
      <x:c r="C28" s="66" t="n">
        <x:f>C13*'04_DRIVERS'!$B$26</x:f>
        <x:v>4182.9755000000005</x:v>
      </x:c>
      <x:c r="D28" s="66" t="n">
        <x:f>D13*'04_DRIVERS'!$B$26</x:f>
        <x:v>3992.84025</x:v>
      </x:c>
    </x:row>
    <x:row r="29">
      <x:c r="A29" t="s">
        <x:v>356</x:v>
      </x:c>
      <x:c r="B29" s="66" t="n">
        <x:f>B13*'04_DRIVERS'!$B$27</x:f>
        <x:v>5444.0586</x:v>
      </x:c>
      <x:c r="C29" s="66" t="n">
        <x:f>C13*'04_DRIVERS'!$B$27</x:f>
        <x:v>5544.8745</x:v>
      </x:c>
      <x:c r="D29" s="66" t="n">
        <x:f>D13*'04_DRIVERS'!$B$27</x:f>
        <x:v>5292.83475</x:v>
      </x:c>
    </x:row>
    <x:row r="30">
      <x:c r="A30" t="s">
        <x:v>357</x:v>
      </x:c>
      <x:c r="B30" s="66" t="n">
        <x:f>'06_BALANCE_SHEET'!D23*(1+'04_DRIVERS'!$B$31)</x:f>
        <x:v>3005.63</x:v>
      </x:c>
      <x:c r="C30" s="66" t="n">
        <x:f>'06_BALANCE_SHEET'!D23*(1+'04_DRIVERS'!$B$31)</x:f>
        <x:v>3005.63</x:v>
      </x:c>
      <x:c r="D30" s="66" t="n">
        <x:f>'06_BALANCE_SHEET'!D23*(1+'04_DRIVERS'!$B$31)</x:f>
        <x:v>3005.63</x:v>
      </x:c>
    </x:row>
    <x:row r="31">
      <x:c r="A31" t="s">
        <x:v>358</x:v>
      </x:c>
      <x:c r="B31" s="66" t="n">
        <x:f>-(B27-'06_BALANCE_SHEET'!D12)-(B28-'06_BALANCE_SHEET'!D13)+(B29-'06_BALANCE_SHEET'!D22)+(B30-'06_BALANCE_SHEET'!D23)</x:f>
        <x:v>299.50448000000017</x:v>
      </x:c>
      <x:c r="C31" s="66" t="n">
        <x:f>-(C27-'06_BALANCE_SHEET'!D12)-(C28-'06_BALANCE_SHEET'!D13)+(C29-'06_BALANCE_SHEET'!D22)+(C30-'06_BALANCE_SHEET'!D23)</x:f>
        <x:v>312.94659999999953</x:v>
      </x:c>
      <x:c r="D31" s="66" t="n">
        <x:f>-(D27-'06_BALANCE_SHEET'!D12)-(D28-'06_BALANCE_SHEET'!D13)+(D29-'06_BALANCE_SHEET'!D22)+(D30-'06_BALANCE_SHEET'!D23)</x:f>
        <x:v>279.3412999999998</x:v>
      </x:c>
    </x:row>
    <x:row r="32">
      <x:c r="A32" t="s">
        <x:v>359</x:v>
      </x:c>
      <x:c r="B32" s="66" t="n">
        <x:f>'06_BALANCE_SHEET'!D25*'04_DRIVERS'!$B$33</x:f>
        <x:v>62.42</x:v>
      </x:c>
      <x:c r="C32" s="66" t="n">
        <x:f>'06_BALANCE_SHEET'!D25*'04_DRIVERS'!$B$33</x:f>
        <x:v>62.42</x:v>
      </x:c>
      <x:c r="D32" s="66" t="n">
        <x:f>'06_BALANCE_SHEET'!D25*'04_DRIVERS'!$B$33</x:f>
        <x:v>62.42</x:v>
      </x:c>
    </x:row>
    <x:row r="33">
      <x:c r="A33" t="s">
        <x:v>360</x:v>
      </x:c>
      <x:c r="B33" s="66" t="n">
        <x:f>'06_BALANCE_SHEET'!D8+B15-B16</x:f>
        <x:v>91044.5657772199</x:v>
      </x:c>
      <x:c r="C33" s="66" t="n">
        <x:f>'06_BALANCE_SHEET'!D8+C15-C16</x:f>
        <x:v>90594.0657772199</x:v>
      </x:c>
      <x:c r="D33" s="66" t="n">
        <x:f>'06_BALANCE_SHEET'!D8+D15-D16</x:f>
        <x:v>91495.0657772199</x:v>
      </x:c>
    </x:row>
    <x:row r="34">
      <x:c r="A34" t="s">
        <x:v>361</x:v>
      </x:c>
      <x:c r="B34" s="66" t="n">
        <x:f>B33*'04_DRIVERS'!$B$32</x:f>
        <x:v>10105.94680127141</x:v>
      </x:c>
      <x:c r="C34" s="66" t="n">
        <x:f>C33*'04_DRIVERS'!$B$32</x:f>
        <x:v>10055.94130127141</x:v>
      </x:c>
      <x:c r="D34" s="66" t="n">
        <x:f>D33*'04_DRIVERS'!$B$32</x:f>
        <x:v>10155.952301271409</x:v>
      </x:c>
    </x:row>
    <x:row r="35">
      <x:c r="A35" t="s">
        <x:v>362</x:v>
      </x:c>
      <x:c r="B35" s="66" t="n">
        <x:f>B13*'04_DRIVERS'!$B$34</x:f>
        <x:v>2349.5410800000004</x:v>
      </x:c>
      <x:c r="C35" s="66" t="n">
        <x:f>C13*'04_DRIVERS'!$B$34</x:f>
        <x:v>2393.0511</x:v>
      </x:c>
      <x:c r="D35" s="66" t="n">
        <x:f>D13*'04_DRIVERS'!$B$34</x:f>
        <x:v>2284.2760500000004</x:v>
      </x:c>
    </x:row>
    <x:row r="36">
      <x:c r="A36" t="s">
        <x:v>363</x:v>
      </x:c>
      <x:c r="B36" s="66" t="n">
        <x:f>'05_INCOME_STATEMENT'!$E$11+'05_INCOME_STATEMENT'!$E$13+(B34-'06_BALANCE_SHEET'!$D$24)+(B35-'06_BALANCE_SHEET'!$D$26)</x:f>
        <x:v>1696.76788127141</x:v>
      </x:c>
      <x:c r="C36" s="66" t="n">
        <x:f>'05_INCOME_STATEMENT'!$E$11+'05_INCOME_STATEMENT'!$E$13+(C34-'06_BALANCE_SHEET'!$D$24)+(C35-'06_BALANCE_SHEET'!$D$26)</x:f>
        <x:v>1690.2724012714104</x:v>
      </x:c>
      <x:c r="D36" s="66" t="n">
        <x:f>'05_INCOME_STATEMENT'!$E$11+'05_INCOME_STATEMENT'!$E$13+(D34-'06_BALANCE_SHEET'!$D$24)+(D35-'06_BALANCE_SHEET'!$D$26)</x:f>
        <x:v>1681.5083512714093</x:v>
      </x:c>
    </x:row>
    <x:row r="37">
      <x:c r="A37" t="s">
        <x:v>364</x:v>
      </x:c>
      <x:c r="B37" s="66" t="n">
        <x:f>B16+('06_BALANCE_SHEET'!$D$7*'04_DRIVERS'!$B$38)</x:f>
        <x:v>2459.964222780095</x:v>
      </x:c>
      <x:c r="C37" s="66" t="n">
        <x:f>C16+('06_BALANCE_SHEET'!$D$7*'04_DRIVERS'!$B$38)</x:f>
        <x:v>2459.964222780095</x:v>
      </x:c>
      <x:c r="D37" s="66" t="n">
        <x:f>D16+('06_BALANCE_SHEET'!$D$7*'04_DRIVERS'!$B$38)</x:f>
        <x:v>2459.964222780095</x:v>
      </x:c>
    </x:row>
    <x:row r="38">
      <x:c r="A38" t="s">
        <x:v>365</x:v>
      </x:c>
      <x:c r="B38" s="66" t="n">
        <x:f>-B22*'04_DRIVERS'!$C$8</x:f>
        <x:v>-1036.8016653500001</x:v>
      </x:c>
      <x:c r="C38" s="66" t="n">
        <x:f>-C22*'04_DRIVERS'!$C$8</x:f>
        <x:v>-1124.407719875</x:v>
      </x:c>
      <x:c r="D38" s="66" t="n">
        <x:f>-D22*'04_DRIVERS'!$C$8</x:f>
        <x:v>-893.9856273150002</x:v>
      </x:c>
    </x:row>
    <x:row r="39">
      <x:c r="A39" t="s">
        <x:v>322</x:v>
      </x:c>
      <x:c r="B39" s="66" t="n">
        <x:f>B14+B37+B31+B32+B36+B38</x:f>
        <x:v>9556.278198701506</x:v>
      </x:c>
      <x:c r="C39" s="66" t="n">
        <x:f>C14+C37+C31+C32+C36+C38</x:f>
        <x:v>9724.298004176504</x:v>
      </x:c>
      <x:c r="D39" s="66" t="n">
        <x:f>D14+D37+D31+D32+D36+D38</x:f>
        <x:v>9253.509996736506</x:v>
      </x:c>
    </x:row>
    <x:row r="41">
      <x:c r="A41" s="25" t="s">
        <x:v>366</x:v>
      </x:c>
      <x:c r="B41" s="25" t="s">
        <x:v>51</x:v>
      </x:c>
      <x:c r="C41" s="25" t="s">
        <x:v>54</x:v>
      </x:c>
      <x:c r="D41" s="25" t="s">
        <x:v>343</x:v>
      </x:c>
    </x:row>
    <x:row r="42">
      <x:c r="A42" t="s">
        <x:v>367</x:v>
      </x:c>
      <x:c r="B42" s="66" t="n">
        <x:f>'06_BALANCE_SHEET'!D7*(1+'04_DRIVERS'!$B$29)</x:f>
        <x:v>4072.9500000000003</x:v>
      </x:c>
      <x:c r="C42" s="66" t="n">
        <x:f>'06_BALANCE_SHEET'!D7*(1+'04_DRIVERS'!$B$29)</x:f>
        <x:v>4072.9500000000003</x:v>
      </x:c>
      <x:c r="D42" s="66" t="n">
        <x:f>'06_BALANCE_SHEET'!D7*(1+'04_DRIVERS'!$B$29)</x:f>
        <x:v>4072.9500000000003</x:v>
      </x:c>
    </x:row>
    <x:row r="43">
      <x:c r="A43" t="s">
        <x:v>368</x:v>
      </x:c>
      <x:c r="B43" s="66" t="n">
        <x:f>-((B42-'06_BALANCE_SHEET'!D7)+('06_BALANCE_SHEET'!D7*'04_DRIVERS'!$B$38))</x:f>
        <x:v>-465.4800000000003</x:v>
      </x:c>
      <x:c r="C43" s="66" t="n">
        <x:f>-((C42-'06_BALANCE_SHEET'!D7)+('06_BALANCE_SHEET'!D7*'04_DRIVERS'!$B$38))</x:f>
        <x:v>-465.4800000000003</x:v>
      </x:c>
      <x:c r="D43" s="66" t="n">
        <x:f>-((D42-'06_BALANCE_SHEET'!D7)+('06_BALANCE_SHEET'!D7*'04_DRIVERS'!$B$38))</x:f>
        <x:v>-465.4800000000003</x:v>
      </x:c>
    </x:row>
    <x:row r="44">
      <x:c r="A44" t="s">
        <x:v>369</x:v>
      </x:c>
      <x:c r="B44" s="66" t="n">
        <x:f>-B15</x:f>
        <x:v>-11712.999999999998</x:v>
      </x:c>
      <x:c r="C44" s="66" t="n">
        <x:f>-C15</x:f>
        <x:v>-11262.499999999998</x:v>
      </x:c>
      <x:c r="D44" s="66" t="n">
        <x:f>-D15</x:f>
        <x:v>-12163.499999999998</x:v>
      </x:c>
    </x:row>
    <x:row r="45">
      <x:c r="A45" t="s">
        <x:v>370</x:v>
      </x:c>
      <x:c r="B45" s="66" t="n">
        <x:f>-(('06_BALANCE_SHEET'!D9*(1+'04_DRIVERS'!$B$30))-'06_BALANCE_SHEET'!D9)-(B13*'04_DRIVERS'!$B$28-'06_BALANCE_SHEET'!D15)</x:f>
        <x:v>-480.2940000000003</x:v>
      </x:c>
      <x:c r="C45" s="66" t="n">
        <x:f>-(('06_BALANCE_SHEET'!D9*(1+'04_DRIVERS'!$B$30))-'06_BALANCE_SHEET'!D9)-(C13*'04_DRIVERS'!$B$28-'06_BALANCE_SHEET'!D15)</x:f>
        <x:v>-533.355</x:v>
      </x:c>
      <x:c r="D45" s="66" t="n">
        <x:f>-(('06_BALANCE_SHEET'!D9*(1+'04_DRIVERS'!$B$30))-'06_BALANCE_SHEET'!D9)-(D13*'04_DRIVERS'!$B$28-'06_BALANCE_SHEET'!D15)</x:f>
        <x:v>-400.7025000000003</x:v>
      </x:c>
    </x:row>
    <x:row r="46">
      <x:c r="A46" t="s">
        <x:v>371</x:v>
      </x:c>
      <x:c r="B46" s="66" t="n">
        <x:f>SUM(B43:B45)</x:f>
        <x:v>-12658.773999999998</x:v>
      </x:c>
      <x:c r="C46" s="66" t="n">
        <x:f>SUM(C43:C45)</x:f>
        <x:v>-12261.334999999997</x:v>
      </x:c>
      <x:c r="D46" s="66" t="n">
        <x:f>SUM(D43:D45)</x:f>
        <x:v>-13029.682499999999</x:v>
      </x:c>
    </x:row>
    <x:row r="48">
      <x:c r="A48" s="25" t="s">
        <x:v>372</x:v>
      </x:c>
      <x:c r="B48" s="25" t="s">
        <x:v>51</x:v>
      </x:c>
      <x:c r="C48" s="25" t="s">
        <x:v>54</x:v>
      </x:c>
      <x:c r="D48" s="25" t="s">
        <x:v>343</x:v>
      </x:c>
    </x:row>
    <x:row r="49">
      <x:c r="A49" t="s">
        <x:v>373</x:v>
      </x:c>
      <x:c r="B49" s="66" t="n">
        <x:f>'06_BALANCE_SHEET'!D14+B39+B46+B17-B18-B21+B24</x:f>
        <x:v>-4107.618327373491</x:v>
      </x:c>
      <x:c r="C49" s="66" t="n">
        <x:f>'06_BALANCE_SHEET'!D14+C39+C46+C17-C18-C21+C24</x:f>
        <x:v>-3550.952622192244</x:v>
      </x:c>
      <x:c r="D49" s="66" t="n">
        <x:f>'06_BALANCE_SHEET'!D14+D39+D46+D17-D18-D21+D24</x:f>
        <x:v>-4571.890674980993</x:v>
      </x:c>
    </x:row>
    <x:row r="50">
      <x:c r="A50" t="s">
        <x:v>326</x:v>
      </x:c>
      <x:c r="B50" s="66" t="n">
        <x:f>MAX(0,B9-B49)</x:f>
        <x:v>4607.618327373491</x:v>
      </x:c>
      <x:c r="C50" s="66" t="n">
        <x:f>MAX(0,C9-C49)</x:f>
        <x:v>4050.952622192244</x:v>
      </x:c>
      <x:c r="D50" s="66" t="n">
        <x:f>MAX(0,D9-D49)</x:f>
        <x:v>5071.890674980993</x:v>
      </x:c>
    </x:row>
    <x:row r="51">
      <x:c r="A51" t="s">
        <x:v>374</x:v>
      </x:c>
      <x:c r="B51" s="66" t="n">
        <x:f>B49+B50</x:f>
        <x:v>500</x:v>
      </x:c>
      <x:c r="C51" s="66" t="n">
        <x:f>C49+C50</x:f>
        <x:v>500</x:v>
      </x:c>
      <x:c r="D51" s="66" t="n">
        <x:f>D49+D50</x:f>
        <x:v>500</x:v>
      </x:c>
    </x:row>
    <x:row r="52">
      <x:c r="A52" t="s">
        <x:v>325</x:v>
      </x:c>
      <x:c r="B52" s="66" t="n">
        <x:f>'09_DEBT'!B9+B17+B50-B18</x:f>
        <x:v>53640.43082737349</x:v>
      </x:c>
      <x:c r="C52" s="66" t="n">
        <x:f>'09_DEBT'!B9+C17+C50-C18</x:f>
        <x:v>52883.76512219224</x:v>
      </x:c>
      <x:c r="D52" s="66" t="n">
        <x:f>'09_DEBT'!B9+D17+D50-D18</x:f>
        <x:v>54304.70317498099</x:v>
      </x:c>
    </x:row>
    <x:row r="53">
      <x:c r="A53" t="s">
        <x:v>334</x:v>
      </x:c>
      <x:c r="B53" s="66" t="n">
        <x:f>B52-B51</x:f>
        <x:v>53140.43082737349</x:v>
      </x:c>
      <x:c r="C53" s="66" t="n">
        <x:f>C52-C51</x:f>
        <x:v>52383.76512219224</x:v>
      </x:c>
      <x:c r="D53" s="66" t="n">
        <x:f>D52-D51</x:f>
        <x:v>53804.70317498099</x:v>
      </x:c>
    </x:row>
    <x:row r="54">
      <x:c r="A54" t="s">
        <x:v>332</x:v>
      </x:c>
      <x:c r="B54" s="66" t="n">
        <x:f>B14+B37</x:f>
        <x:v>8534.387502780097</x:v>
      </x:c>
      <x:c r="C54" s="66" t="n">
        <x:f>C14+C37</x:f>
        <x:v>8783.066722780095</x:v>
      </x:c>
      <x:c r="D54" s="66" t="n">
        <x:f>D14+D37</x:f>
        <x:v>8124.225972780096</x:v>
      </x:c>
    </x:row>
    <x:row r="55">
      <x:c r="A55" t="s">
        <x:v>375</x:v>
      </x:c>
      <x:c r="B55" s="66" t="n">
        <x:f>B53/B54</x:f>
        <x:v>6.226625028458442</x:v>
      </x:c>
      <x:c r="C55" s="66" t="n">
        <x:f>C53/C54</x:f>
        <x:v>5.9641770665737655</x:v>
      </x:c>
      <x:c r="D55" s="66" t="n">
        <x:f>D53/D54</x:f>
        <x:v>6.62274822921612</x:v>
      </x:c>
    </x:row>
    <x:row r="56">
      <x:c r="A56" t="s">
        <x:v>336</x:v>
      </x:c>
      <x:c r="B56" s="66" t="n">
        <x:f>B14/B21</x:f>
        <x:v>3.3376530904811372</x:v>
      </x:c>
      <x:c r="C56" s="66" t="n">
        <x:f>C14/C21</x:f>
        <x:v>3.779981290576588</x:v>
      </x:c>
      <x:c r="D56" s="66" t="n">
        <x:f>D14/D21</x:f>
        <x:v>2.744661306702046</x:v>
      </x:c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RowHeight="16"/>
  <x:cols>
    <x:col min="1" max="1" width="36.83203125" customWidth="1"/>
  </x:cols>
  <x:sheetData>
    <x:row r="1">
      <x:c r="A1" t="s">
        <x:v>376</x:v>
      </x:c>
    </x:row>
    <x:row r="3">
      <x:c r="A3" t="s">
        <x:v>377</x:v>
      </x:c>
      <x:c r="B3" t="s">
        <x:v>378</x:v>
      </x:c>
    </x:row>
    <x:row r="4">
      <x:c r="A4" t="s">
        <x:v>379</x:v>
      </x:c>
      <x:c r="B4" s="85">
        <x:v>0.05</x:v>
      </x:c>
    </x:row>
    <x:row r="5">
      <x:c r="A5" t="s">
        <x:v>380</x:v>
      </x:c>
      <x:c r="B5" s="85">
        <x:v>2.5000000000000001E-2</x:v>
      </x:c>
    </x:row>
    <x:row r="6">
      <x:c r="A6" t="s">
        <x:v>381</x:v>
      </x:c>
      <x:c r="B6" s="85">
        <x:v>6.5000000000000002E-2</x:v>
      </x:c>
    </x:row>
    <x:row r="7">
      <x:c r="A7" t="s">
        <x:v>382</x:v>
      </x:c>
      <x:c r="B7" s="18" t="n">
        <x:f>'06_BALANCE_SHEET'!D21-'06_BALANCE_SHEET'!D14</x:f>
        <x:v>46380</x:v>
      </x:c>
    </x:row>
    <x:row r="8">
      <x:c r="A8" t="s">
        <x:v>383</x:v>
      </x:c>
      <x:c r="B8" s="18">
        <x:v>4971</x:v>
      </x:c>
    </x:row>
    <x:row r="9">
      <x:c r="A9" t="s">
        <x:v>384</x:v>
      </x:c>
      <x:c r="B9" s="18">
        <x:v>1150.5</x:v>
      </x:c>
    </x:row>
    <x:row r="10">
      <x:c r="A10" t="s">
        <x:v>385</x:v>
      </x:c>
      <x:c r="B10" s="87">
        <x:v>46269</x:v>
      </x:c>
    </x:row>
    <x:row r="12">
      <x:c r="A12" s="25" t="s">
        <x:v>386</x:v>
      </x:c>
      <x:c r="B12" s="25" t="s">
        <x:v>209</x:v>
      </x:c>
      <x:c r="C12" s="25" t="s">
        <x:v>210</x:v>
      </x:c>
      <x:c r="D12" s="25" t="s">
        <x:v>211</x:v>
      </x:c>
      <x:c r="E12" s="25" t="s">
        <x:v>212</x:v>
      </x:c>
      <x:c r="F12" s="25" t="s">
        <x:v>213</x:v>
      </x:c>
    </x:row>
    <x:row r="13">
      <x:c r="A13" t="s">
        <x:v>387</x:v>
      </x:c>
      <x:c r="B13" s="53" t="n">
        <x:f>'05_INCOME_STATEMENT'!E8</x:f>
        <x:v>6074.423280000001</x:v>
      </x:c>
      <x:c r="C13" s="53" t="n">
        <x:f>'05_INCOME_STATEMENT'!F8</x:f>
        <x:v>6540.511104000001</x:v>
      </x:c>
      <x:c r="D13" s="53" t="n">
        <x:f>'05_INCOME_STATEMENT'!G8</x:f>
        <x:v>6987.4119642780015</x:v>
      </x:c>
      <x:c r="E13" s="53" t="n">
        <x:f>'05_INCOME_STATEMENT'!H8</x:f>
        <x:v>7429.730378963761</x:v>
      </x:c>
      <x:c r="F13" s="53" t="n">
        <x:f>'05_INCOME_STATEMENT'!I8</x:f>
        <x:v>7862.708299961447</x:v>
      </x:c>
    </x:row>
    <x:row r="14">
      <x:c r="A14" t="s">
        <x:v>388</x:v>
      </x:c>
      <x:c r="B14" s="43" t="n">
        <x:f>'05_INCOME_STATEMENT'!E16</x:f>
        <x:v>0.22</x:v>
      </x:c>
      <x:c r="C14" s="43" t="n">
        <x:f>'05_INCOME_STATEMENT'!F16</x:f>
        <x:v>0.22</x:v>
      </x:c>
      <x:c r="D14" s="43" t="n">
        <x:f>'05_INCOME_STATEMENT'!G16</x:f>
        <x:v>0.22</x:v>
      </x:c>
      <x:c r="E14" s="43" t="n">
        <x:f>'05_INCOME_STATEMENT'!H16</x:f>
        <x:v>0.22</x:v>
      </x:c>
      <x:c r="F14" s="43" t="n">
        <x:f>'05_INCOME_STATEMENT'!I16</x:f>
        <x:v>0.22</x:v>
      </x:c>
    </x:row>
    <x:row r="15">
      <x:c r="A15" t="s">
        <x:v>389</x:v>
      </x:c>
      <x:c r="B15" s="88" t="n">
        <x:f>B13*(1-B14)</x:f>
        <x:v>4738.050158400001</x:v>
      </x:c>
      <x:c r="C15" s="88" t="n">
        <x:f>C13*(1-C14)</x:f>
        <x:v>5101.598661120001</x:v>
      </x:c>
      <x:c r="D15" s="88" t="n">
        <x:f>D13*(1-D14)</x:f>
        <x:v>5450.181332136842</x:v>
      </x:c>
      <x:c r="E15" s="88" t="n">
        <x:f>E13*(1-E14)</x:f>
        <x:v>5795.189695591734</x:v>
      </x:c>
      <x:c r="F15" s="88" t="n">
        <x:f>F13*(1-F14)</x:f>
        <x:v>6132.912473969929</x:v>
      </x:c>
    </x:row>
    <x:row r="16">
      <x:c r="A16" t="s">
        <x:v>364</x:v>
      </x:c>
      <x:c r="B16" s="88" t="n">
        <x:f>'07_CASH_FLOW'!E5</x:f>
        <x:v>2459.964222780095</x:v>
      </x:c>
      <x:c r="C16" s="88" t="n">
        <x:f>'07_CASH_FLOW'!F5</x:f>
        <x:v>2729.2311754786733</x:v>
      </x:c>
      <x:c r="D16" s="88" t="n">
        <x:f>'07_CASH_FLOW'!G5</x:f>
        <x:v>3011.662989127402</x:v>
      </x:c>
      <x:c r="E16" s="88" t="n">
        <x:f>'07_CASH_FLOW'!H5</x:f>
        <x:v>3297.2833429268426</x:v>
      </x:c>
      <x:c r="F16" s="88" t="n">
        <x:f>'07_CASH_FLOW'!I5</x:f>
        <x:v>3581.223877210138</x:v>
      </x:c>
    </x:row>
    <x:row r="17">
      <x:c r="A17" t="s">
        <x:v>358</x:v>
      </x:c>
      <x:c r="B17" s="88" t="n">
        <x:f>'07_CASH_FLOW'!E6</x:f>
        <x:v>299.50448000000017</x:v>
      </x:c>
      <x:c r="C17" s="88" t="n">
        <x:f>'07_CASH_FLOW'!F6</x:f>
        <x:v>261.20531359999995</x:v>
      </x:c>
      <x:c r="D17" s="88" t="n">
        <x:f>'07_CASH_FLOW'!G6</x:f>
        <x:v>275.6062570839996</x:v>
      </x:c>
      <x:c r="E17" s="88" t="n">
        <x:f>'07_CASH_FLOW'!H6</x:f>
        <x:v>290.51042091104034</x:v>
      </x:c>
      <x:c r="F17" s="88" t="n">
        <x:f>'07_CASH_FLOW'!I6</x:f>
        <x:v>305.9658458190776</x:v>
      </x:c>
    </x:row>
    <x:row r="18">
      <x:c r="A18" t="s">
        <x:v>390</x:v>
      </x:c>
      <x:c r="B18" s="88" t="n">
        <x:f>'07_CASH_FLOW'!E7</x:f>
        <x:v>62.42000000000007</x:v>
      </x:c>
      <x:c r="C18" s="88" t="n">
        <x:f>'07_CASH_FLOW'!F7</x:f>
        <x:v>63.66840000000002</x:v>
      </x:c>
      <x:c r="D18" s="88" t="n">
        <x:f>'07_CASH_FLOW'!G7</x:f>
        <x:v>64.94176800000014</x:v>
      </x:c>
      <x:c r="E18" s="88" t="n">
        <x:f>'07_CASH_FLOW'!H7</x:f>
        <x:v>66.24060336000002</x:v>
      </x:c>
      <x:c r="F18" s="88" t="n">
        <x:f>'07_CASH_FLOW'!I7</x:f>
        <x:v>67.56541542720015</x:v>
      </x:c>
    </x:row>
    <x:row r="19">
      <x:c r="A19" t="s">
        <x:v>391</x:v>
      </x:c>
      <x:c r="B19" s="88" t="n">
        <x:f>'06_BALANCE_SHEET'!E24-'06_BALANCE_SHEET'!D24</x:f>
        <x:v>1065.9468012714096</x:v>
      </x:c>
      <x:c r="C19" s="88" t="n">
        <x:f>'06_BALANCE_SHEET'!F24-'06_BALANCE_SHEET'!E24</x:f>
        <x:v>1108.8539610218686</x:v>
      </x:c>
      <x:c r="D19" s="88" t="n">
        <x:f>'06_BALANCE_SHEET'!G24-'06_BALANCE_SHEET'!F24</x:f>
        <x:v>1119.090770781857</x:v>
      </x:c>
      <x:c r="E19" s="88" t="n">
        <x:f>'06_BALANCE_SHEET'!H24-'06_BALANCE_SHEET'!G24</x:f>
        <x:v>1109.05056963887</x:v>
      </x:c>
      <x:c r="F19" s="88" t="n">
        <x:f>'06_BALANCE_SHEET'!I24-'06_BALANCE_SHEET'!H24</x:f>
        <x:v>1099.2799013686108</x:v>
      </x:c>
    </x:row>
    <x:row r="20">
      <x:c r="A20" t="s">
        <x:v>392</x:v>
      </x:c>
      <x:c r="B20" s="88" t="n">
        <x:f>'06_BALANCE_SHEET'!E26-'06_BALANCE_SHEET'!D26</x:f>
        <x:v>172.54108000000042</x:v>
      </x:c>
      <x:c r="C20" s="88" t="n">
        <x:f>'06_BALANCE_SHEET'!F26-'06_BALANCE_SHEET'!E26</x:f>
        <x:v>164.46787559999984</x:v>
      </x:c>
      <x:c r="D20" s="88" t="n">
        <x:f>'06_BALANCE_SHEET'!G26-'06_BALANCE_SHEET'!F26</x:f>
        <x:v>163.41058211400014</x:v>
      </x:c>
      <x:c r="E20" s="88" t="n">
        <x:f>'06_BALANCE_SHEET'!H26-'06_BALANCE_SHEET'!G26</x:f>
        <x:v>160.64517226283988</x:v>
      </x:c>
      <x:c r="F20" s="88" t="n">
        <x:f>'06_BALANCE_SHEET'!I26-'06_BALANCE_SHEET'!H26</x:f>
        <x:v>156.0935590487261</x:v>
      </x:c>
    </x:row>
    <x:row r="21">
      <x:c r="A21" t="s">
        <x:v>371</x:v>
      </x:c>
      <x:c r="B21" s="88" t="n">
        <x:f>'07_CASH_FLOW'!E15</x:f>
        <x:v>-12658.773999999998</x:v>
      </x:c>
      <x:c r="C21" s="88" t="n">
        <x:f>'07_CASH_FLOW'!F15</x:f>
        <x:v>-13437.07458</x:v>
      </x:c>
      <x:c r="D21" s="88" t="n">
        <x:f>'07_CASH_FLOW'!G15</x:f>
        <x:v>-13836.320397700001</x:v>
      </x:c>
      <x:c r="E21" s="88" t="n">
        <x:f>'07_CASH_FLOW'!H15</x:f>
        <x:v>-14055.289906662001</x:v>
      </x:c>
      <x:c r="F21" s="88" t="n">
        <x:f>'07_CASH_FLOW'!I15</x:f>
        <x:v>-14274.18821683991</x:v>
      </x:c>
    </x:row>
    <x:row r="22">
      <x:c r="A22" t="s">
        <x:v>393</x:v>
      </x:c>
      <x:c r="B22" s="88" t="n">
        <x:f>SUM(B15:B20)+B21</x:f>
        <x:v>-3860.3472575484902</x:v>
      </x:c>
      <x:c r="C22" s="88" t="n">
        <x:f>SUM(C15:C20)+C21</x:f>
        <x:v>-4008.049193179457</x:v>
      </x:c>
      <x:c r="D22" s="88" t="n">
        <x:f>SUM(D15:D20)+D21</x:f>
        <x:v>-3751.4266984559</x:v>
      </x:c>
      <x:c r="E22" s="88" t="n">
        <x:f>SUM(E15:E20)+E21</x:f>
        <x:v>-3336.370101970675</x:v>
      </x:c>
      <x:c r="F22" s="88" t="n">
        <x:f>SUM(F15:F20)+F21</x:f>
        <x:v>-2931.1471439962297</x:v>
      </x:c>
    </x:row>
    <x:row r="23">
      <x:c r="A23" t="s">
        <x:v>394</x:v>
      </x:c>
      <x:c r="B23">
        <x:v>1</x:v>
      </x:c>
      <x:c r="C23">
        <x:v>2</x:v>
      </x:c>
      <x:c r="D23">
        <x:v>3</x:v>
      </x:c>
      <x:c r="E23">
        <x:v>4</x:v>
      </x:c>
      <x:c r="F23">
        <x:v>5</x:v>
      </x:c>
    </x:row>
    <x:row r="24">
      <x:c r="A24" t="s">
        <x:v>395</x:v>
      </x:c>
      <x:c r="B24" t="n">
        <x:f>1/(1+$B$4)^B23</x:f>
        <x:v>0.9523809523809523</x:v>
      </x:c>
      <x:c r="C24" t="n">
        <x:f>1/(1+$B$4)^C23</x:f>
        <x:v>0.9070294784580498</x:v>
      </x:c>
      <x:c r="D24" t="n">
        <x:f>1/(1+$B$4)^D23</x:f>
        <x:v>0.863837598531476</x:v>
      </x:c>
      <x:c r="E24" t="n">
        <x:f>1/(1+$B$4)^E23</x:f>
        <x:v>0.822702474791882</x:v>
      </x:c>
      <x:c r="F24" t="n">
        <x:f>1/(1+$B$4)^F23</x:f>
        <x:v>0.783526166468459</x:v>
      </x:c>
    </x:row>
    <x:row r="25">
      <x:c r="A25" t="s">
        <x:v>396</x:v>
      </x:c>
      <x:c r="B25" s="88" t="n">
        <x:f>B22*B24</x:f>
        <x:v>-3676.5211976652286</x:v>
      </x:c>
      <x:c r="C25" s="88" t="n">
        <x:f>C22*C24</x:f>
        <x:v>-3635.41876932377</x:v>
      </x:c>
      <x:c r="D25" s="88" t="n">
        <x:f>D22*D24</x:f>
        <x:v>-3240.6234302610083</x:v>
      </x:c>
      <x:c r="E25" s="88" t="n">
        <x:f>E22*E24</x:f>
        <x:v>-2744.839939712918</x:v>
      </x:c>
      <x:c r="F25" s="88" t="n">
        <x:f>F22*F24</x:f>
        <x:v>-2296.630485090338</x:v>
      </x:c>
    </x:row>
    <x:row r="28">
      <x:c r="A28" t="s">
        <x:v>397</x:v>
      </x:c>
      <x:c r="B28" t="s">
        <x:v>378</x:v>
      </x:c>
    </x:row>
    <x:row r="29">
      <x:c r="A29" t="s">
        <x:v>398</x:v>
      </x:c>
      <x:c r="B29" s="88" t="n">
        <x:f>F15</x:f>
        <x:v>6132.912473969929</x:v>
      </x:c>
    </x:row>
    <x:row r="30">
      <x:c r="A30" t="s">
        <x:v>380</x:v>
      </x:c>
      <x:c r="B30" s="35" t="n">
        <x:f>$B$5</x:f>
        <x:v>0.025</x:v>
      </x:c>
    </x:row>
    <x:row r="31">
      <x:c r="A31" t="s">
        <x:v>381</x:v>
      </x:c>
      <x:c r="B31" s="35" t="n">
        <x:f>$B$6</x:f>
        <x:v>0.065</x:v>
      </x:c>
    </x:row>
    <x:row r="32">
      <x:c r="A32" t="s">
        <x:v>399</x:v>
      </x:c>
      <x:c r="B32" s="88" t="n">
        <x:f>B30/B31</x:f>
        <x:v>0.38461538461538464</x:v>
      </x:c>
    </x:row>
    <x:row r="33">
      <x:c r="A33" t="s">
        <x:v>400</x:v>
      </x:c>
      <x:c r="B33" s="88" t="n">
        <x:f>B29*(1-B32)</x:f>
        <x:v>3774.099983981495</x:v>
      </x:c>
    </x:row>
    <x:row r="34">
      <x:c r="A34" t="s">
        <x:v>401</x:v>
      </x:c>
      <x:c r="B34" s="88" t="n">
        <x:f>B33*(1+B30)/($B$4-B30)</x:f>
        <x:v>154738.09934324128</x:v>
      </x:c>
    </x:row>
    <x:row r="35">
      <x:c r="A35" t="s">
        <x:v>402</x:v>
      </x:c>
      <x:c r="B35" s="88" t="n">
        <x:f>B34/(1+$B$4)^5</x:f>
        <x:v>121241.3497850254</x:v>
      </x:c>
    </x:row>
    <x:row r="36">
      <x:c r="A36" t="s">
        <x:v>403</x:v>
      </x:c>
      <x:c r="B36" s="88" t="n">
        <x:f>SUM(B25:F25)</x:f>
        <x:v>-15594.033822053263</x:v>
      </x:c>
    </x:row>
    <x:row r="37">
      <x:c r="A37" t="s">
        <x:v>404</x:v>
      </x:c>
      <x:c r="B37" s="88" t="n">
        <x:f>B35+B36</x:f>
        <x:v>105647.31596297215</x:v>
      </x:c>
    </x:row>
    <x:row r="38">
      <x:c r="A38" t="s">
        <x:v>405</x:v>
      </x:c>
      <x:c r="B38" s="88" t="n">
        <x:f>-$B$7</x:f>
        <x:v>-46380</x:v>
      </x:c>
    </x:row>
    <x:row r="39">
      <x:c r="A39" t="s">
        <x:v>406</x:v>
      </x:c>
      <x:c r="B39" s="88" t="n">
        <x:f>B37+B38</x:f>
        <x:v>59267.31596297215</x:v>
      </x:c>
    </x:row>
    <x:row r="40">
      <x:c r="A40" t="s">
        <x:v>383</x:v>
      </x:c>
      <x:c r="B40" s="88" t="n">
        <x:f>$B$8</x:f>
        <x:v>4971</x:v>
      </x:c>
    </x:row>
    <x:row r="41">
      <x:c r="A41" t="s">
        <x:v>407</x:v>
      </x:c>
      <x:c r="B41" s="88" t="n">
        <x:f>B39/B40</x:f>
        <x:v>11.922614355858409</x:v>
      </x:c>
    </x:row>
    <x:row r="42">
      <x:c r="A42" t="s">
        <x:v>408</x:v>
      </x:c>
      <x:c r="B42" s="88" t="n">
        <x:f>B41*100</x:f>
        <x:v>1192.261435585841</x:v>
      </x:c>
    </x:row>
    <x:row r="43">
      <x:c r="A43" t="s">
        <x:v>384</x:v>
      </x:c>
      <x:c r="B43" s="88" t="n">
        <x:f>$B$9</x:f>
        <x:v>1150.5</x:v>
      </x:c>
    </x:row>
    <x:row r="44">
      <x:c r="A44" t="s">
        <x:v>409</x:v>
      </x:c>
      <x:c r="B44" t="n">
        <x:f>B42/B43-1</x:f>
        <x:v>0.03629850985296912</x:v>
      </x:c>
    </x:row>
    <x:row r="48">
      <x:c r="A48" t="s">
        <x:v>410</x:v>
      </x:c>
    </x:row>
    <x:row r="49">
      <x:c r="A49" t="s">
        <x:v>411</x:v>
      </x:c>
      <x:c r="B49" s="35">
        <x:v>4.4999999999999998E-2</x:v>
      </x:c>
      <x:c r="C49" s="35">
        <x:v>4.7500000000000001E-2</x:v>
      </x:c>
      <x:c r="D49" s="35">
        <x:v>0.05</x:v>
      </x:c>
      <x:c r="E49" s="35">
        <x:v>5.2499999999999998E-2</x:v>
      </x:c>
      <x:c r="F49" s="35">
        <x:v>5.5E-2</x:v>
      </x:c>
    </x:row>
    <x:row r="50">
      <x:c r="A50" s="35">
        <x:v>0.02</x:v>
      </x:c>
      <x:c r="B50" s="89" t="n" cm="1">
        <x:f t="array" ref="B50">((SUMPRODUCT($B$22:$F$22,1/(1+B$49)^$B$23:$F$23)+((($F$15*(1-$A50/$B$6))*(1+$A50)/(B$49-$A50))/(1+B$49)^5)-$B$7)/$B$8*100)</x:f>
        <x:v>1545.522644273823</x:v>
      </x:c>
      <x:c r="C50" s="89" t="n" cm="1">
        <x:f t="array" ref="C50">((SUMPRODUCT($B$22:$F$22,1/(1+C$49)^$B$23:$F$23)+((($F$15*(1-$A50/$B$6))*(1+$A50)/(C$49-$A50))/(1+C$49)^5)-$B$7)/$B$8*100)</x:f>
        <x:v>1263.210637344892</x:v>
      </x:c>
      <x:c r="D50" s="89" t="n" cm="1">
        <x:f t="array" ref="D50">((SUMPRODUCT($B$22:$F$22,1/(1+D$49)^$B$23:$F$23)+((($F$15*(1-$A50/$B$6))*(1+$A50)/(D$49-$A50))/(1+D$49)^5)-$B$7)/$B$8*100)</x:f>
        <x:v>1028.6717805089218</x:v>
      </x:c>
      <x:c r="E50" s="89" t="n" cm="1">
        <x:f t="array" ref="E50">((SUMPRODUCT($B$22:$F$22,1/(1+E$49)^$B$23:$F$23)+((($F$15*(1-$A50/$B$6))*(1+$A50)/(E$49-$A50))/(1+E$49)^5)-$B$7)/$B$8*100)</x:f>
        <x:v>830.8706759447593</x:v>
      </x:c>
      <x:c r="F50" s="89" t="n" cm="1">
        <x:f t="array" ref="F50">((SUMPRODUCT($B$22:$F$22,1/(1+F$49)^$B$23:$F$23)+((($F$15*(1-$A50/$B$6))*(1+$A50)/(F$49-$A50))/(1+F$49)^5)-$B$7)/$B$8*100)</x:f>
        <x:v>661.9250841305912</x:v>
      </x:c>
    </x:row>
    <x:row r="51">
      <x:c r="A51" s="35">
        <x:v>2.2499999999999999E-2</x:v>
      </x:c>
      <x:c r="B51" s="89" t="n" cm="1">
        <x:f t="array" ref="B51">((SUMPRODUCT($B$22:$F$22,1/(1+B$49)^$B$23:$F$23)+((($F$15*(1-$A51/$B$6))*(1+$A51)/(B$49-$A51))/(1+B$49)^5)-$B$7)/$B$8*100)</x:f>
        <x:v>1690.8093861867712</x:v>
      </x:c>
      <x:c r="C51" s="89" t="n" cm="1">
        <x:f t="array" ref="C51">((SUMPRODUCT($B$22:$F$22,1/(1+C$49)^$B$23:$F$23)+((($F$15*(1-$A51/$B$6))*(1+$A51)/(C$49-$A51))/(1+C$49)^5)-$B$7)/$B$8*100)</x:f>
        <x:v>1367.2957854669282</x:v>
      </x:c>
      <x:c r="D51" s="89" t="n" cm="1">
        <x:f t="array" ref="D51">((SUMPRODUCT($B$22:$F$22,1/(1+D$49)^$B$23:$F$23)+((($F$15*(1-$A51/$B$6))*(1+$A51)/(D$49-$A51))/(1+D$49)^5)-$B$7)/$B$8*100)</x:f>
        <x:v>1103.3687097899112</x:v>
      </x:c>
      <x:c r="E51" s="89" t="n" cm="1">
        <x:f t="array" ref="E51">((SUMPRODUCT($B$22:$F$22,1/(1+E$49)^$B$23:$F$23)+((($F$15*(1-$A51/$B$6))*(1+$A51)/(E$49-$A51))/(1+E$49)^5)-$B$7)/$B$8*100)</x:f>
        <x:v>884.1201223414137</x:v>
      </x:c>
      <x:c r="F51" s="89" t="n" cm="1">
        <x:f t="array" ref="F51">((SUMPRODUCT($B$22:$F$22,1/(1+F$49)^$B$23:$F$23)+((($F$15*(1-$A51/$B$6))*(1+$A51)/(F$49-$A51))/(1+F$49)^5)-$B$7)/$B$8*100)</x:f>
        <x:v>699.2292708263036</x:v>
      </x:c>
    </x:row>
    <x:row r="52">
      <x:c r="A52" s="35">
        <x:v>2.5000000000000001E-2</x:v>
      </x:c>
      <x:c r="B52" s="89" t="n" cm="1">
        <x:f t="array" ref="B52">((SUMPRODUCT($B$22:$F$22,1/(1+B$49)^$B$23:$F$23)+((($F$15*(1-$A52/$B$6))*(1+$A52)/(B$49-$A52))/(1+B$49)^5)-$B$7)/$B$8*100)</x:f>
        <x:v>1871.4658765677534</x:v>
      </x:c>
      <x:c r="C52" s="89" t="n" cm="1">
        <x:f t="array" ref="C52">((SUMPRODUCT($B$22:$F$22,1/(1+C$49)^$B$23:$F$23)+((($F$15*(1-$A52/$B$6))*(1+$A52)/(C$49-$A52))/(1+C$49)^5)-$B$7)/$B$8*100)</x:f>
        <x:v>1493.6748496397877</x:v>
      </x:c>
      <x:c r="D52" s="89" t="n" cm="1">
        <x:f t="array" ref="D52">((SUMPRODUCT($B$22:$F$22,1/(1+D$49)^$B$23:$F$23)+((($F$15*(1-$A52/$B$6))*(1+$A52)/(D$49-$A52))/(1+D$49)^5)-$B$7)/$B$8*100)</x:f>
        <x:v>1192.261435585841</x:v>
      </x:c>
      <x:c r="E52" s="89" t="n" cm="1">
        <x:f t="array" ref="E52">((SUMPRODUCT($B$22:$F$22,1/(1+E$49)^$B$23:$F$23)+((($F$15*(1-$A52/$B$6))*(1+$A52)/(E$49-$A52))/(1+E$49)^5)-$B$7)/$B$8*100)</x:f>
        <x:v>946.383286293852</x:v>
      </x:c>
      <x:c r="F52" s="89" t="n" cm="1">
        <x:f t="array" ref="F52">((SUMPRODUCT($B$22:$F$22,1/(1+F$49)^$B$23:$F$23)+((($F$15*(1-$A52/$B$6))*(1+$A52)/(F$49-$A52))/(1+F$49)^5)-$B$7)/$B$8*100)</x:f>
        <x:v>742.1457094954886</x:v>
      </x:c>
    </x:row>
    <x:row r="53">
      <x:c r="A53" s="35">
        <x:v>2.75E-2</x:v>
      </x:c>
      <x:c r="B53" s="89" t="n" cm="1">
        <x:f t="array" ref="B53">((SUMPRODUCT($B$22:$F$22,1/(1+B$49)^$B$23:$F$23)+((($F$15*(1-$A53/$B$6))*(1+$A53)/(B$49-$A53))/(1+B$49)^5)-$B$7)/$B$8*100)</x:f>
        <x:v>2102.6505790459255</x:v>
      </x:c>
      <x:c r="C53" s="89" t="n" cm="1">
        <x:f t="array" ref="C53">((SUMPRODUCT($B$22:$F$22,1/(1+C$49)^$B$23:$F$23)+((($F$15*(1-$A53/$B$6))*(1+$A53)/(C$49-$A53))/(1+C$49)^5)-$B$7)/$B$8*100)</x:f>
        <x:v>1650.708048382528</x:v>
      </x:c>
      <x:c r="D53" s="89" t="n" cm="1">
        <x:f t="array" ref="D53">((SUMPRODUCT($B$22:$F$22,1/(1+D$49)^$B$23:$F$23)+((($F$15*(1-$A53/$B$6))*(1+$A53)/(D$49-$A53))/(1+D$49)^5)-$B$7)/$B$8*100)</x:f>
        <x:v>1300.0818900683557</x:v>
      </x:c>
      <x:c r="E53" s="89" t="n" cm="1">
        <x:f t="array" ref="E53">((SUMPRODUCT($B$22:$F$22,1/(1+E$49)^$B$23:$F$23)+((($F$15*(1-$A53/$B$6))*(1+$A53)/(E$49-$A53))/(1+E$49)^5)-$B$7)/$B$8*100)</x:f>
        <x:v>1020.3642830688102</x:v>
      </x:c>
      <x:c r="F53" s="89" t="n" cm="1">
        <x:f t="array" ref="F53">((SUMPRODUCT($B$22:$F$22,1/(1+F$49)^$B$23:$F$23)+((($F$15*(1-$A53/$B$6))*(1+$A53)/(F$49-$A53))/(1+F$49)^5)-$B$7)/$B$8*100)</x:f>
        <x:v>792.2050143127294</x:v>
      </x:c>
    </x:row>
    <x:row r="54">
      <x:c r="A54" s="35">
        <x:v>0.03</x:v>
      </x:c>
      <x:c r="B54" s="89" t="n" cm="1">
        <x:f t="array" ref="B54">((SUMPRODUCT($B$22:$F$22,1/(1+B$49)^$B$23:$F$23)+((($F$15*(1-$A54/$B$6))*(1+$A54)/(B$49-$A54))/(1+B$49)^5)-$B$7)/$B$8*100)</x:f>
        <x:v>2409.6275996698823</x:v>
      </x:c>
      <x:c r="C54" s="89" t="n" cm="1">
        <x:f t="array" ref="C54">((SUMPRODUCT($B$22:$F$22,1/(1+C$49)^$B$23:$F$23)+((($F$15*(1-$A54/$B$6))*(1+$A54)/(C$49-$A54))/(1+C$49)^5)-$B$7)/$B$8*100)</x:f>
        <x:v>1851.5328679393829</x:v>
      </x:c>
      <x:c r="D54" s="89" t="n" cm="1">
        <x:f t="array" ref="D54">((SUMPRODUCT($B$22:$F$22,1/(1+D$49)^$B$23:$F$23)+((($F$15*(1-$A54/$B$6))*(1+$A54)/(D$49-$A54))/(1+D$49)^5)-$B$7)/$B$8*100)</x:f>
        <x:v>1433.9279714949264</x:v>
      </x:c>
      <x:c r="E54" s="89" t="n" cm="1">
        <x:f t="array" ref="E54">((SUMPRODUCT($B$22:$F$22,1/(1+E$49)^$B$23:$F$23)+((($F$15*(1-$A54/$B$6))*(1+$A54)/(E$49-$A54))/(1+E$49)^5)-$B$7)/$B$8*100)</x:f>
        <x:v>1109.969056940461</x:v>
      </x:c>
      <x:c r="F54" s="89" t="n" cm="1">
        <x:f t="array" ref="F54">((SUMPRODUCT($B$22:$F$22,1/(1+F$49)^$B$23:$F$23)+((($F$15*(1-$A54/$B$6))*(1+$A54)/(F$49-$A54))/(1+F$49)^5)-$B$7)/$B$8*100)</x:f>
        <x:v>851.5500451224435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10" defaultRowHeight="16"/>
  <x:cols>
    <x:col min="1" max="1" width="56.6640625" customWidth="1"/>
    <x:col min="2" max="2" width="12.1640625" customWidth="1"/>
    <x:col min="3" max="3" width="18" customWidth="1"/>
    <x:col min="4" max="4" width="12.1640625" customWidth="1"/>
    <x:col min="6" max="6" width="23.5" customWidth="1"/>
    <x:col min="7" max="7" width="20.33203125" customWidth="1"/>
    <x:col min="9" max="9" width="30.5" customWidth="1"/>
    <x:col min="10" max="12" width="12.1640625" customWidth="1"/>
  </x:cols>
  <x:sheetData>
    <x:row r="1">
      <x:c r="A1" s="15" t="s">
        <x:v>412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69" t="s">
        <x:v>413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</x:row>
    <x:row r="4">
      <x:c r="A4" s="90" t="s">
        <x:v>414</x:v>
      </x:c>
      <x:c r="B4" s="90" t="s">
        <x:v>68</x:v>
      </x:c>
      <x:c r="C4" s="90" t="s">
        <x:v>209</x:v>
      </x:c>
      <x:c r="D4" s="90" t="s">
        <x:v>213</x:v>
      </x:c>
      <x:c r="F4" s="90" t="s">
        <x:v>415</x:v>
      </x:c>
      <x:c r="G4" s="90" t="s">
        <x:v>378</x:v>
      </x:c>
    </x:row>
    <x:row r="5">
      <x:c r="A5" s="91" t="s">
        <x:v>319</x:v>
      </x:c>
      <x:c r="B5" s="91" t="n">
        <x:f>'05_INCOME_STATEMENT'!D5</x:f>
        <x:v>17687</x:v>
      </x:c>
      <x:c r="C5" s="92" t="n">
        <x:f>'05_INCOME_STATEMENT'!E5</x:f>
        <x:v>19101.960000000003</x:v>
      </x:c>
      <x:c r="D5" s="92" t="n">
        <x:f>'05_INCOME_STATEMENT'!I5</x:f>
        <x:v>24342.7501546794</x:v>
      </x:c>
      <x:c r="F5" s="91" t="s">
        <x:v>416</x:v>
      </x:c>
      <x:c r="G5" s="91" t="n">
        <x:f>'13_DCF_VALUATION'!B42</x:f>
        <x:v>1192.261435585841</x:v>
      </x:c>
    </x:row>
    <x:row r="6">
      <x:c r="A6" s="91" t="s">
        <x:v>320</x:v>
      </x:c>
      <x:c r="B6" s="91" t="n">
        <x:f>'05_INCOME_STATEMENT'!D8</x:f>
        <x:v>5431</x:v>
      </x:c>
      <x:c r="C6" s="92" t="n">
        <x:f>'05_INCOME_STATEMENT'!E8</x:f>
        <x:v>6074.423280000001</x:v>
      </x:c>
      <x:c r="D6" s="92" t="n">
        <x:f>'05_INCOME_STATEMENT'!I8</x:f>
        <x:v>7862.708299961447</x:v>
      </x:c>
      <x:c r="F6" s="91" t="s">
        <x:v>417</x:v>
      </x:c>
      <x:c r="G6" s="91" t="n">
        <x:f>'13_DCF_VALUATION'!B43</x:f>
        <x:v>1150.5</x:v>
      </x:c>
    </x:row>
    <x:row r="7">
      <x:c r="A7" s="91" t="s">
        <x:v>188</x:v>
      </x:c>
      <x:c r="B7" s="91" t="n">
        <x:f>'05_INCOME_STATEMENT'!D9</x:f>
        <x:v>0.3070616837225081</x:v>
      </x:c>
      <x:c r="C7" s="91" t="n">
        <x:f>'05_INCOME_STATEMENT'!E9</x:f>
        <x:v>0.318</x:v>
      </x:c>
      <x:c r="D7" s="91" t="n">
        <x:f>'05_INCOME_STATEMENT'!I9</x:f>
        <x:v>0.323</x:v>
      </x:c>
      <x:c r="F7" s="91" t="s">
        <x:v>409</x:v>
      </x:c>
      <x:c r="G7" s="91" t="n">
        <x:f>'13_DCF_VALUATION'!B44</x:f>
        <x:v>0.03629850985296912</x:v>
      </x:c>
    </x:row>
    <x:row r="8">
      <x:c r="A8" s="91" t="s">
        <x:v>324</x:v>
      </x:c>
      <x:c r="B8" s="91" t="n">
        <x:f>'05_INCOME_STATEMENT'!D19</x:f>
        <x:v>3243</x:v>
      </x:c>
      <x:c r="C8" s="92" t="n">
        <x:f>'05_INCOME_STATEMENT'!E19</x:f>
        <x:v>3675.933177150001</x:v>
      </x:c>
      <x:c r="D8" s="92" t="n">
        <x:f>'05_INCOME_STATEMENT'!I19</x:f>
        <x:v>4132.845954681507</x:v>
      </x:c>
      <x:c r="F8" s="91" t="s">
        <x:v>404</x:v>
      </x:c>
      <x:c r="G8" s="91" t="n">
        <x:f>'13_DCF_VALUATION'!B37</x:f>
        <x:v>105647.31596297215</x:v>
      </x:c>
    </x:row>
    <x:row r="9">
      <x:c r="A9" s="91" t="s">
        <x:v>322</x:v>
      </x:c>
      <x:c r="B9" s="91" t="n">
        <x:f>'07_CASH_FLOW'!D11</x:f>
        <x:v>7829</x:v>
      </x:c>
      <x:c r="C9" s="91" t="n">
        <x:f>'07_CASH_FLOW'!E11</x:f>
        <x:v>9556.278198701506</x:v>
      </x:c>
      <x:c r="D9" s="91" t="n">
        <x:f>'07_CASH_FLOW'!I11</x:f>
        <x:v>12375.267228443623</x:v>
      </x:c>
      <x:c r="F9" s="91" t="s">
        <x:v>406</x:v>
      </x:c>
      <x:c r="G9" s="91" t="n">
        <x:f>'13_DCF_VALUATION'!B39</x:f>
        <x:v>59267.31596297215</x:v>
      </x:c>
    </x:row>
    <x:row r="10">
      <x:c r="A10" s="91" t="s">
        <x:v>321</x:v>
      </x:c>
      <x:c r="B10" s="91" t="n">
        <x:f>'04_DRIVERS'!B9</x:f>
        <x:v>11576</x:v>
      </x:c>
      <x:c r="C10" s="94" t="n">
        <x:f>'04_DRIVERS'!C9</x:f>
        <x:v>13000</x:v>
      </x:c>
      <x:c r="D10" s="94" t="n">
        <x:f>'04_DRIVERS'!G9</x:f>
        <x:v>14600</x:v>
      </x:c>
      <x:c r="F10" s="91" t="s">
        <x:v>379</x:v>
      </x:c>
      <x:c r="G10" s="93" t="n">
        <x:f>'13_DCF_VALUATION'!B4</x:f>
        <x:v>0.05</x:v>
      </x:c>
    </x:row>
    <x:row r="11">
      <x:c r="A11" s="91" t="s">
        <x:v>333</x:v>
      </x:c>
      <x:c r="B11" s="91" t="n">
        <x:f>'09_DEBT'!B9</x:f>
        <x:v>46755</x:v>
      </x:c>
      <x:c r="C11" s="91" t="n">
        <x:f>'09_DEBT'!C9</x:f>
        <x:v>53640.43082737349</x:v>
      </x:c>
      <x:c r="D11" s="91" t="n">
        <x:f>'09_DEBT'!G9</x:f>
        <x:v>82236.15728290583</x:v>
      </x:c>
      <x:c r="F11" s="91" t="s">
        <x:v>418</x:v>
      </x:c>
      <x:c r="G11" s="93" t="n">
        <x:f>'13_DCF_VALUATION'!B5</x:f>
        <x:v>0.025</x:v>
      </x:c>
    </x:row>
    <x:row r="12">
      <x:c r="A12" s="91" t="s">
        <x:v>375</x:v>
      </x:c>
      <x:c r="B12" s="91" t="n">
        <x:f>'11_KPI_RATIOS'!D13</x:f>
        <x:v>6.04063558218286</x:v>
      </x:c>
      <x:c r="C12" s="91" t="n">
        <x:f>'11_KPI_RATIOS'!E13</x:f>
        <x:v>6.226625028458442</x:v>
      </x:c>
      <x:c r="D12" s="91" t="n">
        <x:f>'11_KPI_RATIOS'!I13</x:f>
        <x:v>7.142314024365991</x:v>
      </x:c>
    </x:row>
    <x:row r="13">
      <x:c r="A13" s="91" t="s">
        <x:v>336</x:v>
      </x:c>
      <x:c r="B13" s="91" t="n">
        <x:f>'11_KPI_RATIOS'!D14</x:f>
        <x:v>3.1853372434017597</x:v>
      </x:c>
      <x:c r="C13" s="91" t="n">
        <x:f>'11_KPI_RATIOS'!E14</x:f>
        <x:v>3.3376530904811372</x:v>
      </x:c>
      <x:c r="D13" s="91" t="n">
        <x:f>'11_KPI_RATIOS'!I14</x:f>
        <x:v>2.5929912257730567</x:v>
      </x:c>
    </x:row>
    <x:row r="17" s="73" customFormat="1">
      <x:c r="A17" s="90" t="s">
        <x:v>419</x:v>
      </x:c>
      <x:c r="B17" s="90" t="s">
        <x:v>319</x:v>
      </x:c>
      <x:c r="C17" s="90" t="s">
        <x:v>420</x:v>
      </x:c>
      <x:c r="E17" s="90" t="s">
        <x:v>419</x:v>
      </x:c>
      <x:c r="F17" s="90" t="s">
        <x:v>421</x:v>
      </x:c>
      <x:c r="G17" s="90" t="s">
        <x:v>422</x:v>
      </x:c>
      <x:c r="I17" s="90" t="s">
        <x:v>310</x:v>
      </x:c>
      <x:c r="J17" s="90" t="s">
        <x:v>51</x:v>
      </x:c>
      <x:c r="K17" s="90" t="s">
        <x:v>54</x:v>
      </x:c>
      <x:c r="L17" s="90" t="s">
        <x:v>343</x:v>
      </x:c>
    </x:row>
    <x:row r="18">
      <x:c r="A18" s="91" t="s">
        <x:v>66</x:v>
      </x:c>
      <x:c r="B18" s="91" t="n">
        <x:f>'05_INCOME_STATEMENT'!B5</x:f>
        <x:v>19850</x:v>
      </x:c>
      <x:c r="C18" s="91" t="n">
        <x:f>'05_INCOME_STATEMENT'!B8</x:f>
        <x:v>4475</x:v>
      </x:c>
      <x:c r="E18" s="91" t="s">
        <x:v>68</x:v>
      </x:c>
      <x:c r="F18" s="91" t="n">
        <x:f>'09_DEBT'!B9</x:f>
        <x:v>46755</x:v>
      </x:c>
      <x:c r="G18" s="91" t="n">
        <x:f>'09_DEBT'!B14</x:f>
        <x:v>0</x:v>
      </x:c>
      <x:c r="I18" s="91" t="s">
        <x:v>319</x:v>
      </x:c>
      <x:c r="J18" s="91" t="n">
        <x:f>'12_SCENARIOS'!B13</x:f>
        <x:v>19101.960000000003</x:v>
      </x:c>
      <x:c r="K18" s="91" t="n">
        <x:f>'12_SCENARIOS'!C13</x:f>
        <x:v>19455.7</x:v>
      </x:c>
      <x:c r="L18" s="91" t="n">
        <x:f>'12_SCENARIOS'!D13</x:f>
        <x:v>18571.350000000002</x:v>
      </x:c>
    </x:row>
    <x:row r="19">
      <x:c r="A19" s="91" t="s">
        <x:v>67</x:v>
      </x:c>
      <x:c r="B19" s="91" t="n">
        <x:f>'05_INCOME_STATEMENT'!C5</x:f>
        <x:v>18378</x:v>
      </x:c>
      <x:c r="C19" s="91" t="n">
        <x:f>'05_INCOME_STATEMENT'!C8</x:f>
        <x:v>4934</x:v>
      </x:c>
      <x:c r="E19" s="91" t="s">
        <x:v>209</x:v>
      </x:c>
      <x:c r="F19" s="91" t="n">
        <x:f>'09_DEBT'!C9</x:f>
        <x:v>53640.43082737349</x:v>
      </x:c>
      <x:c r="G19" s="91" t="n">
        <x:f>'09_DEBT'!C14</x:f>
        <x:v>4607.618327373491</x:v>
      </x:c>
      <x:c r="I19" s="91" t="s">
        <x:v>423</x:v>
      </x:c>
      <x:c r="J19" s="91" t="n">
        <x:f>'12_SCENARIOS'!B23</x:f>
        <x:v>3675.933177150001</x:v>
      </x:c>
      <x:c r="K19" s="91" t="n">
        <x:f>'12_SCENARIOS'!C23</x:f>
        <x:v>3986.5364613750007</x:v>
      </x:c>
      <x:c r="L19" s="91" t="n">
        <x:f>'12_SCENARIOS'!D23</x:f>
        <x:v>3169.585405935001</x:v>
      </x:c>
    </x:row>
    <x:row r="20">
      <x:c r="A20" s="91" t="s">
        <x:v>68</x:v>
      </x:c>
      <x:c r="B20" s="91" t="n">
        <x:f>'05_INCOME_STATEMENT'!D5</x:f>
        <x:v>17687</x:v>
      </x:c>
      <x:c r="C20" s="91" t="n">
        <x:f>'05_INCOME_STATEMENT'!D8</x:f>
        <x:v>5431</x:v>
      </x:c>
      <x:c r="E20" s="91" t="s">
        <x:v>210</x:v>
      </x:c>
      <x:c r="F20" s="91" t="n">
        <x:f>'09_DEBT'!D9</x:f>
        <x:v>60851.98886071966</x:v>
      </x:c>
      <x:c r="G20" s="91" t="n">
        <x:f>'09_DEBT'!D14</x:f>
        <x:v>5044.084960057016</x:v>
      </x:c>
      <x:c r="I20" s="91" t="s">
        <x:v>424</x:v>
      </x:c>
      <x:c r="J20" s="91" t="n">
        <x:f>'12_SCENARIOS'!B50</x:f>
        <x:v>4607.618327373491</x:v>
      </x:c>
      <x:c r="K20" s="91" t="n">
        <x:f>'12_SCENARIOS'!C50</x:f>
        <x:v>4050.952622192244</x:v>
      </x:c>
      <x:c r="L20" s="91" t="n">
        <x:f>'12_SCENARIOS'!D50</x:f>
        <x:v>5071.890674980993</x:v>
      </x:c>
    </x:row>
    <x:row r="21">
      <x:c r="A21" s="91" t="s">
        <x:v>209</x:v>
      </x:c>
      <x:c r="B21" s="92" t="n">
        <x:f>'05_INCOME_STATEMENT'!E5</x:f>
        <x:v>19101.960000000003</x:v>
      </x:c>
      <x:c r="C21" s="92" t="n">
        <x:f>'05_INCOME_STATEMENT'!E8</x:f>
        <x:v>6074.423280000001</x:v>
      </x:c>
      <x:c r="E21" s="91" t="s">
        <x:v>211</x:v>
      </x:c>
      <x:c r="F21" s="91" t="n">
        <x:f>'09_DEBT'!E9</x:f>
        <x:v>68111.84747862161</x:v>
      </x:c>
      <x:c r="G21" s="91" t="n">
        <x:f>'09_DEBT'!E14</x:f>
        <x:v>5383.107921696925</x:v>
      </x:c>
      <x:c r="I21" s="91" t="s">
        <x:v>375</x:v>
      </x:c>
      <x:c r="J21" s="91" t="n">
        <x:f>'12_SCENARIOS'!B55</x:f>
        <x:v>6.226625028458442</x:v>
      </x:c>
      <x:c r="K21" s="91" t="n">
        <x:f>'12_SCENARIOS'!C55</x:f>
        <x:v>5.9641770665737655</x:v>
      </x:c>
      <x:c r="L21" s="91" t="n">
        <x:f>'12_SCENARIOS'!D55</x:f>
        <x:v>6.62274822921612</x:v>
      </x:c>
    </x:row>
    <x:row r="22">
      <x:c r="A22" s="91" t="s">
        <x:v>210</x:v>
      </x:c>
      <x:c r="B22" s="92" t="n">
        <x:f>'05_INCOME_STATEMENT'!F5</x:f>
        <x:v>20439.097200000004</x:v>
      </x:c>
      <x:c r="C22" s="92" t="n">
        <x:f>'05_INCOME_STATEMENT'!F8</x:f>
        <x:v>6540.511104000001</x:v>
      </x:c>
      <x:c r="E22" s="91" t="s">
        <x:v>212</x:v>
      </x:c>
      <x:c r="F22" s="91" t="n">
        <x:f>'09_DEBT'!F9</x:f>
        <x:v>75238.52064228042</x:v>
      </x:c>
      <x:c r="G22" s="91" t="n">
        <x:f>'09_DEBT'!F14</x:f>
        <x:v>5623.663631072661</x:v>
      </x:c>
      <x:c r="I22" s="91" t="s">
        <x:v>336</x:v>
      </x:c>
      <x:c r="J22" s="91" t="n">
        <x:f>'12_SCENARIOS'!B56</x:f>
        <x:v>3.3376530904811372</x:v>
      </x:c>
      <x:c r="K22" s="91" t="n">
        <x:f>'12_SCENARIOS'!C56</x:f>
        <x:v>3.779981290576588</x:v>
      </x:c>
      <x:c r="L22" s="91" t="n">
        <x:f>'12_SCENARIOS'!D56</x:f>
        <x:v>2.744661306702046</x:v>
      </x:c>
    </x:row>
    <x:row r="23">
      <x:c r="A23" s="91" t="s">
        <x:v>211</x:v>
      </x:c>
      <x:c r="B23" s="92" t="n">
        <x:f>'05_INCOME_STATEMENT'!G5</x:f>
        <x:v>21767.638518000003</x:v>
      </x:c>
      <x:c r="C23" s="92" t="n">
        <x:f>'05_INCOME_STATEMENT'!G8</x:f>
        <x:v>6987.4119642780015</x:v>
      </x:c>
      <x:c r="E23" s="91" t="s">
        <x:v>213</x:v>
      </x:c>
      <x:c r="F23" s="91" t="n">
        <x:f>'09_DEBT'!G9</x:f>
        <x:v>82236.15728290583</x:v>
      </x:c>
      <x:c r="G23" s="91" t="n">
        <x:f>'09_DEBT'!G14</x:f>
        <x:v>5860.044180767933</x:v>
      </x:c>
    </x:row>
    <x:row r="24">
      <x:c r="A24" s="91" t="s">
        <x:v>212</x:v>
      </x:c>
      <x:c r="B24" s="92" t="n">
        <x:f>'05_INCOME_STATEMENT'!H5</x:f>
        <x:v>23073.696829080003</x:v>
      </x:c>
      <x:c r="C24" s="92" t="n">
        <x:f>'05_INCOME_STATEMENT'!H8</x:f>
        <x:v>7429.730378963761</x:v>
      </x:c>
    </x:row>
    <x:row r="25">
      <x:c r="A25" s="91" t="s">
        <x:v>213</x:v>
      </x:c>
      <x:c r="B25" s="92" t="n">
        <x:f>'05_INCOME_STATEMENT'!I5</x:f>
        <x:v>24342.7501546794</x:v>
      </x:c>
      <x:c r="C25" s="92" t="n">
        <x:f>'05_INCOME_STATEMENT'!I8</x:f>
        <x:v>7862.708299961447</x:v>
      </x:c>
    </x:row>
    <x:row r="26">
      <x:c r="A26" s="91"/>
      <x:c r="B26" s="91"/>
      <x:c r="C26" s="91"/>
    </x:row>
    <x:row r="29">
      <x:c r="A29" s="95" t="s">
        <x:v>425</x:v>
      </x:c>
      <x:c r="B29" s="96"/>
      <x:c r="C29" s="96"/>
      <x:c r="D29" s="96"/>
      <x:c r="E29" s="96"/>
      <x:c r="F29" s="96"/>
      <x:c r="G29" s="96"/>
      <x:c r="H29" s="96"/>
      <x:c r="I29" s="97"/>
    </x:row>
    <x:row r="30">
      <x:c r="A30" s="98" t="s">
        <x:v>426</x:v>
      </x:c>
      <x:c r="B30" s="99" t="s">
        <x:v>427</x:v>
      </x:c>
      <x:c r="C30" s="99"/>
      <x:c r="D30" s="99"/>
      <x:c r="E30" s="99"/>
      <x:c r="F30" s="99"/>
      <x:c r="G30" s="99"/>
      <x:c r="H30" s="99"/>
      <x:c r="I30" s="100"/>
      <x:c r="J30" s="37"/>
      <x:c r="K30" s="37"/>
    </x:row>
    <x:row r="31">
      <x:c r="A31" s="98" t="s">
        <x:v>428</x:v>
      </x:c>
      <x:c r="B31" s="99" t="s">
        <x:v>429</x:v>
      </x:c>
      <x:c r="C31" s="99"/>
      <x:c r="D31" s="99"/>
      <x:c r="E31" s="99"/>
      <x:c r="F31" s="99"/>
      <x:c r="G31" s="99"/>
      <x:c r="H31" s="99"/>
      <x:c r="I31" s="100"/>
      <x:c r="J31" s="37"/>
      <x:c r="K31" s="37"/>
    </x:row>
    <x:row r="32">
      <x:c r="A32" s="98" t="s">
        <x:v>430</x:v>
      </x:c>
      <x:c r="B32" s="99" t="s">
        <x:v>431</x:v>
      </x:c>
      <x:c r="C32" s="99"/>
      <x:c r="D32" s="99"/>
      <x:c r="E32" s="99"/>
      <x:c r="F32" s="99"/>
      <x:c r="G32" s="99"/>
      <x:c r="H32" s="99"/>
      <x:c r="I32" s="100"/>
      <x:c r="J32" s="37"/>
      <x:c r="K32" s="37"/>
    </x:row>
    <x:row r="33">
      <x:c r="A33" s="98" t="s">
        <x:v>432</x:v>
      </x:c>
      <x:c r="B33" s="99" t="s">
        <x:v>433</x:v>
      </x:c>
      <x:c r="C33" s="99"/>
      <x:c r="D33" s="99"/>
      <x:c r="E33" s="99"/>
      <x:c r="F33" s="99"/>
      <x:c r="G33" s="99"/>
      <x:c r="H33" s="99"/>
      <x:c r="I33" s="100"/>
      <x:c r="J33" s="37"/>
      <x:c r="K33" s="37"/>
    </x:row>
    <x:row r="34">
      <x:c r="A34" s="98" t="s">
        <x:v>434</x:v>
      </x:c>
      <x:c r="B34" s="99" t="s">
        <x:v>435</x:v>
      </x:c>
      <x:c r="C34" s="99"/>
      <x:c r="D34" s="99"/>
      <x:c r="E34" s="99"/>
      <x:c r="F34" s="99"/>
      <x:c r="G34" s="99"/>
      <x:c r="H34" s="99"/>
      <x:c r="I34" s="100"/>
      <x:c r="J34" s="37"/>
      <x:c r="K34" s="37"/>
    </x:row>
    <x:row r="35">
      <x:c r="A35" s="98" t="s">
        <x:v>436</x:v>
      </x:c>
      <x:c r="B35" s="99" t="s">
        <x:v>437</x:v>
      </x:c>
      <x:c r="C35" s="99"/>
      <x:c r="D35" s="99"/>
      <x:c r="E35" s="99"/>
      <x:c r="F35" s="99"/>
      <x:c r="G35" s="99"/>
      <x:c r="H35" s="99"/>
      <x:c r="I35" s="100"/>
      <x:c r="J35" s="37"/>
      <x:c r="K35" s="37"/>
    </x:row>
    <x:row r="36">
      <x:c r="A36" s="101"/>
      <x:c r="B36" s="102"/>
      <x:c r="C36" s="102"/>
      <x:c r="D36" s="102"/>
      <x:c r="E36" s="102"/>
      <x:c r="F36" s="102"/>
      <x:c r="G36" s="102"/>
      <x:c r="H36" s="102"/>
      <x:c r="I36" s="103"/>
      <x:c r="J36" s="73"/>
    </x:row>
    <x:row r="37">
      <x:c r="A37" s="73" t="s">
        <x:v>438</x:v>
      </x:c>
    </x:row>
    <x:row r="58">
      <x:c r="A58" t="s">
        <x:v>439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5392bbcc9a524676"/>
</x:worksheet>
</file>

<file path=xl/worksheets/sheet16.xml><?xml version="1.0" encoding="utf-8"?>
<x:worksheet xmlns:x="http://schemas.openxmlformats.org/spreadsheetml/2006/main">
  <x:sheetFormatPr baseColWidth="10" defaultColWidth="8.83203125" defaultRowHeight="14"/>
  <x:cols>
    <x:col min="1" max="1" width="18" style="104" customWidth="1"/>
    <x:col min="2" max="14" width="12" style="104" customWidth="1"/>
    <x:col min="15" max="15" width="8.83203125" style="104" customWidth="0"/>
    <x:col min="16" max="16" width="12" style="104" customWidth="1"/>
    <x:col min="17" max="17" width="17.6640625" style="104" customWidth="1"/>
    <x:col min="18" max="18" width="14" style="104" customWidth="1"/>
    <x:col min="19" max="19" width="11.6640625" style="104" customWidth="1"/>
    <x:col min="20" max="20" width="12" style="104" customWidth="1"/>
    <x:col min="21" max="21" width="21.5" style="104" customWidth="1"/>
    <x:col min="22" max="22" width="30" style="104" customWidth="1"/>
    <x:col min="23" max="23" width="8.83203125" style="104" customWidth="0"/>
    <x:col min="24" max="24" width="12" style="104" customWidth="1"/>
    <x:col min="25" max="25" width="29.6640625" style="104" customWidth="1"/>
    <x:col min="26" max="16384" width="8.83203125" style="104" customWidth="0"/>
  </x:cols>
  <x:sheetData>
    <x:row r="1" ht="40" customHeight="1">
      <x:c r="A1" s="130" t="s">
        <x:v>440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P1" s="140" t="s">
        <x:v>441</x:v>
      </x:c>
      <x:c r="Q1" s="140"/>
      <x:c r="R1" s="140"/>
      <x:c r="S1" s="140"/>
      <x:c r="T1" s="140"/>
      <x:c r="U1" s="140"/>
      <x:c r="V1" s="140"/>
      <x:c r="W1" s="140"/>
      <x:c r="X1" s="140"/>
      <x:c r="Y1" s="140"/>
      <x:c r="Z1" s="141"/>
    </x:row>
    <x:row r="2" ht="24" customHeight="1">
      <x:c r="A2" s="129" t="s">
        <x:v>442</x:v>
      </x:c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8"/>
    </x:row>
    <x:row r="3" ht="20">
      <x:c r="A3" s="115"/>
      <x:c r="B3" s="115"/>
      <x:c r="C3" s="115"/>
      <x:c r="D3" s="115"/>
      <x:c r="E3" s="115"/>
      <x:c r="F3" s="115"/>
      <x:c r="G3" s="115"/>
      <x:c r="H3" s="115"/>
      <x:c r="I3" s="115"/>
      <x:c r="J3" s="115"/>
      <x:c r="K3" s="115"/>
      <x:c r="L3" s="115"/>
      <x:c r="M3" s="115"/>
      <x:c r="N3" s="115"/>
      <x:c r="P3" s="142" t="s">
        <x:v>419</x:v>
      </x:c>
      <x:c r="Q3" s="137" t="s">
        <x:v>319</x:v>
      </x:c>
      <x:c r="R3" s="137" t="s">
        <x:v>420</x:v>
      </x:c>
      <x:c r="S3" s="137"/>
      <x:c r="T3" s="137" t="s">
        <x:v>419</x:v>
      </x:c>
      <x:c r="U3" s="137" t="s">
        <x:v>421</x:v>
      </x:c>
      <x:c r="V3" s="137" t="s">
        <x:v>422</x:v>
      </x:c>
      <x:c r="W3" s="137"/>
      <x:c r="X3" s="137" t="s">
        <x:v>443</x:v>
      </x:c>
      <x:c r="Y3" s="137" t="s">
        <x:v>422</x:v>
      </x:c>
      <x:c r="Z3" s="138"/>
    </x:row>
    <x:row r="4" ht="26.75" customHeight="1">
      <x:c r="A4" s="128"/>
      <x:c r="B4" s="128"/>
      <x:c r="C4" s="128"/>
      <x:c r="D4" s="128"/>
      <x:c r="E4" s="128"/>
      <x:c r="F4" s="128"/>
      <x:c r="G4" s="128"/>
      <x:c r="H4" s="128"/>
      <x:c r="I4" s="128"/>
      <x:c r="J4" s="128"/>
      <x:c r="K4" s="128"/>
      <x:c r="L4" s="128"/>
      <x:c r="M4" s="127"/>
      <x:c r="N4" s="127"/>
      <x:c r="P4" s="142" t="s">
        <x:v>66</x:v>
      </x:c>
      <x:c r="Q4" s="139">
        <x:v>19850</x:v>
      </x:c>
      <x:c r="R4" s="139">
        <x:v>4475</x:v>
      </x:c>
      <x:c r="S4" s="137"/>
      <x:c r="T4" s="137" t="s">
        <x:v>68</x:v>
      </x:c>
      <x:c r="U4" s="139">
        <x:v>46755</x:v>
      </x:c>
      <x:c r="V4" s="139">
        <x:v>0</x:v>
      </x:c>
      <x:c r="W4" s="137"/>
      <x:c r="X4" s="137" t="s">
        <x:v>51</x:v>
      </x:c>
      <x:c r="Y4" s="139">
        <x:v>4607.62</x:v>
      </x:c>
      <x:c r="Z4" s="138"/>
    </x:row>
    <x:row r="5" ht="26.75" customHeight="1">
      <x:c r="A5" s="126" t="s">
        <x:v>444</x:v>
      </x:c>
      <x:c r="B5" s="126"/>
      <x:c r="C5" s="126"/>
      <x:c r="D5" s="126" t="s">
        <x:v>445</x:v>
      </x:c>
      <x:c r="E5" s="126"/>
      <x:c r="F5" s="126"/>
      <x:c r="G5" s="126" t="s">
        <x:v>446</x:v>
      </x:c>
      <x:c r="H5" s="126"/>
      <x:c r="I5" s="126"/>
      <x:c r="J5" s="126" t="s">
        <x:v>447</x:v>
      </x:c>
      <x:c r="K5" s="126"/>
      <x:c r="L5" s="126"/>
      <x:c r="M5" s="126" t="s">
        <x:v>448</x:v>
      </x:c>
      <x:c r="N5" s="126"/>
      <x:c r="P5" s="142" t="s">
        <x:v>67</x:v>
      </x:c>
      <x:c r="Q5" s="139">
        <x:v>18378</x:v>
      </x:c>
      <x:c r="R5" s="139">
        <x:v>4934</x:v>
      </x:c>
      <x:c r="S5" s="137"/>
      <x:c r="T5" s="137" t="s">
        <x:v>209</x:v>
      </x:c>
      <x:c r="U5" s="139">
        <x:v>53640.43</x:v>
      </x:c>
      <x:c r="V5" s="139">
        <x:v>4607.62</x:v>
      </x:c>
      <x:c r="W5" s="137"/>
      <x:c r="X5" s="137" t="s">
        <x:v>54</x:v>
      </x:c>
      <x:c r="Y5" s="139">
        <x:v>4050.95</x:v>
      </x:c>
      <x:c r="Z5" s="138"/>
    </x:row>
    <x:row r="6" ht="26.75" customHeight="1">
      <x:c r="A6" s="126"/>
      <x:c r="B6" s="126"/>
      <x:c r="C6" s="126"/>
      <x:c r="D6" s="126"/>
      <x:c r="E6" s="126"/>
      <x:c r="F6" s="126"/>
      <x:c r="G6" s="126"/>
      <x:c r="H6" s="126"/>
      <x:c r="I6" s="126"/>
      <x:c r="J6" s="126"/>
      <x:c r="K6" s="126"/>
      <x:c r="L6" s="126"/>
      <x:c r="M6" s="126"/>
      <x:c r="N6" s="126"/>
      <x:c r="P6" s="137"/>
      <x:c r="Q6" s="139"/>
      <x:c r="R6" s="139"/>
      <x:c r="S6" s="137"/>
      <x:c r="T6" s="137" t="s">
        <x:v>210</x:v>
      </x:c>
      <x:c r="U6" s="139">
        <x:v>60851.99</x:v>
      </x:c>
      <x:c r="V6" s="139">
        <x:v>5044.08</x:v>
      </x:c>
      <x:c r="W6" s="137"/>
      <x:c r="X6" s="137" t="s">
        <x:v>343</x:v>
      </x:c>
      <x:c r="Y6" s="139">
        <x:v>5071.8900000000003</x:v>
      </x:c>
      <x:c r="Z6" s="138"/>
    </x:row>
    <x:row r="7" ht="26.75" customHeight="1">
      <x:c r="A7" s="120" t="s">
        <x:v>449</x:v>
      </x:c>
      <x:c r="B7" s="120"/>
      <x:c r="C7" s="120"/>
      <x:c r="D7" s="120" t="s">
        <x:v>450</x:v>
      </x:c>
      <x:c r="E7" s="120"/>
      <x:c r="F7" s="120"/>
      <x:c r="G7" s="120" t="s">
        <x:v>451</x:v>
      </x:c>
      <x:c r="H7" s="120"/>
      <x:c r="I7" s="120"/>
      <x:c r="J7" s="120" t="s">
        <x:v>452</x:v>
      </x:c>
      <x:c r="K7" s="120"/>
      <x:c r="L7" s="120"/>
      <x:c r="M7" s="119" t="s">
        <x:v>453</x:v>
      </x:c>
      <x:c r="N7" s="119"/>
      <x:c r="P7" s="137"/>
      <x:c r="Q7" s="139"/>
      <x:c r="R7" s="139"/>
      <x:c r="S7" s="137"/>
      <x:c r="T7" s="137" t="s">
        <x:v>211</x:v>
      </x:c>
      <x:c r="U7" s="139">
        <x:v>68111.850000000006</x:v>
      </x:c>
      <x:c r="V7" s="139">
        <x:v>5383.11</x:v>
      </x:c>
      <x:c r="W7" s="137"/>
      <x:c r="X7" s="137"/>
      <x:c r="Y7" s="137"/>
      <x:c r="Z7" s="138"/>
    </x:row>
    <x:row r="8" ht="26.75" customHeight="1">
      <x:c r="A8" s="120"/>
      <x:c r="B8" s="120"/>
      <x:c r="C8" s="120"/>
      <x:c r="D8" s="120"/>
      <x:c r="E8" s="120"/>
      <x:c r="F8" s="120"/>
      <x:c r="G8" s="120"/>
      <x:c r="H8" s="120"/>
      <x:c r="I8" s="120"/>
      <x:c r="J8" s="120"/>
      <x:c r="K8" s="120"/>
      <x:c r="L8" s="120"/>
      <x:c r="M8" s="119"/>
      <x:c r="N8" s="119"/>
      <x:c r="P8" s="137"/>
      <x:c r="Q8" s="139"/>
      <x:c r="R8" s="139"/>
      <x:c r="S8" s="137"/>
      <x:c r="T8" s="137" t="s">
        <x:v>212</x:v>
      </x:c>
      <x:c r="U8" s="139">
        <x:v>75238.52</x:v>
      </x:c>
      <x:c r="V8" s="139">
        <x:v>5623.66</x:v>
      </x:c>
      <x:c r="W8" s="137"/>
      <x:c r="X8" s="137"/>
      <x:c r="Y8" s="137"/>
      <x:c r="Z8" s="138"/>
    </x:row>
    <x:row r="9" ht="20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P9" s="137"/>
      <x:c r="Q9" s="139"/>
      <x:c r="R9" s="139"/>
      <x:c r="S9" s="137"/>
      <x:c r="T9" s="137" t="s">
        <x:v>213</x:v>
      </x:c>
      <x:c r="U9" s="139">
        <x:v>82236.160000000003</x:v>
      </x:c>
      <x:c r="V9" s="139">
        <x:v>5860.04</x:v>
      </x:c>
      <x:c r="W9" s="137"/>
      <x:c r="X9" s="137"/>
      <x:c r="Y9" s="137"/>
      <x:c r="Z9" s="138"/>
    </x:row>
    <x:row r="10">
      <x:c r="A10" s="112"/>
      <x:c r="B10" s="112"/>
      <x:c r="C10" s="112"/>
      <x:c r="D10" s="112"/>
      <x:c r="E10" s="112"/>
      <x:c r="F10" s="112"/>
      <x:c r="G10" s="112"/>
      <x:c r="H10" s="112"/>
      <x:c r="I10" s="112"/>
      <x:c r="J10" s="112"/>
      <x:c r="K10" s="112"/>
      <x:c r="L10" s="112"/>
      <x:c r="M10" s="112"/>
      <x:c r="N10" s="112"/>
      <x:c r="P10" s="131"/>
      <x:c r="Q10" s="133"/>
      <x:c r="R10" s="133"/>
      <x:c r="S10" s="131"/>
      <x:c r="T10" s="131"/>
      <x:c r="U10" s="131"/>
      <x:c r="V10" s="131"/>
      <x:c r="W10" s="131"/>
      <x:c r="X10" s="131"/>
      <x:c r="Y10" s="131"/>
      <x:c r="Z10" s="132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P11" s="131"/>
      <x:c r="Q11" s="133"/>
      <x:c r="R11" s="133"/>
      <x:c r="S11" s="131"/>
      <x:c r="T11" s="131"/>
      <x:c r="U11" s="131"/>
      <x:c r="V11" s="131"/>
      <x:c r="W11" s="131"/>
      <x:c r="X11" s="131"/>
      <x:c r="Y11" s="131"/>
      <x:c r="Z11" s="132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P12" s="131"/>
      <x:c r="Q12" s="131"/>
      <x:c r="R12" s="131"/>
      <x:c r="S12" s="131"/>
      <x:c r="T12" s="131"/>
      <x:c r="U12" s="131"/>
      <x:c r="V12" s="131"/>
      <x:c r="W12" s="131"/>
      <x:c r="X12" s="131"/>
      <x:c r="Y12" s="131"/>
      <x:c r="Z12" s="132"/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  <x:c r="P13" s="131"/>
      <x:c r="Q13" s="131"/>
      <x:c r="R13" s="131"/>
      <x:c r="S13" s="131"/>
      <x:c r="T13" s="131"/>
      <x:c r="U13" s="131"/>
      <x:c r="V13" s="131"/>
      <x:c r="W13" s="131"/>
      <x:c r="X13" s="131"/>
      <x:c r="Y13" s="131"/>
      <x:c r="Z13" s="132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P14" s="131"/>
      <x:c r="Q14" s="131"/>
      <x:c r="R14" s="131"/>
      <x:c r="S14" s="131"/>
      <x:c r="T14" s="131"/>
      <x:c r="U14" s="131"/>
      <x:c r="V14" s="131"/>
      <x:c r="W14" s="131"/>
      <x:c r="X14" s="131"/>
      <x:c r="Y14" s="131"/>
      <x:c r="Z14" s="132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P15" s="131"/>
      <x:c r="Q15" s="131"/>
      <x:c r="R15" s="131"/>
      <x:c r="S15" s="131"/>
      <x:c r="T15" s="131"/>
      <x:c r="U15" s="131"/>
      <x:c r="V15" s="131"/>
      <x:c r="W15" s="131"/>
      <x:c r="X15" s="131"/>
      <x:c r="Y15" s="131"/>
      <x:c r="Z15" s="132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  <x:c r="P16" s="131"/>
      <x:c r="Q16" s="131"/>
      <x:c r="R16" s="131"/>
      <x:c r="S16" s="131"/>
      <x:c r="T16" s="131"/>
      <x:c r="U16" s="131"/>
      <x:c r="V16" s="131"/>
      <x:c r="W16" s="131"/>
      <x:c r="X16" s="131"/>
      <x:c r="Y16" s="131"/>
      <x:c r="Z16" s="132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  <x:c r="P17" s="131"/>
      <x:c r="Q17" s="131"/>
      <x:c r="R17" s="131"/>
      <x:c r="S17" s="131"/>
      <x:c r="T17" s="131"/>
      <x:c r="U17" s="131"/>
      <x:c r="V17" s="131"/>
      <x:c r="W17" s="131"/>
      <x:c r="X17" s="131"/>
      <x:c r="Y17" s="131"/>
      <x:c r="Z17" s="132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  <x:c r="P18" s="131"/>
      <x:c r="Q18" s="131"/>
      <x:c r="R18" s="131"/>
      <x:c r="S18" s="131"/>
      <x:c r="T18" s="131"/>
      <x:c r="U18" s="131"/>
      <x:c r="V18" s="131"/>
      <x:c r="W18" s="131"/>
      <x:c r="X18" s="131"/>
      <x:c r="Y18" s="131"/>
      <x:c r="Z18" s="132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  <x:c r="P19" s="131"/>
      <x:c r="Q19" s="131"/>
      <x:c r="R19" s="131"/>
      <x:c r="S19" s="131"/>
      <x:c r="T19" s="131"/>
      <x:c r="U19" s="131"/>
      <x:c r="V19" s="131"/>
      <x:c r="W19" s="131"/>
      <x:c r="X19" s="131"/>
      <x:c r="Y19" s="131"/>
      <x:c r="Z19" s="132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  <x:c r="P20" s="131"/>
      <x:c r="Q20" s="131"/>
      <x:c r="R20" s="131"/>
      <x:c r="S20" s="131"/>
      <x:c r="T20" s="131"/>
      <x:c r="U20" s="131"/>
      <x:c r="V20" s="131"/>
      <x:c r="W20" s="131"/>
      <x:c r="X20" s="131"/>
      <x:c r="Y20" s="131"/>
      <x:c r="Z20" s="132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  <x:c r="P21" s="131"/>
      <x:c r="Q21" s="131"/>
      <x:c r="R21" s="131"/>
      <x:c r="S21" s="131"/>
      <x:c r="T21" s="131"/>
      <x:c r="U21" s="131"/>
      <x:c r="V21" s="131"/>
      <x:c r="W21" s="131"/>
      <x:c r="X21" s="131"/>
      <x:c r="Y21" s="131"/>
      <x:c r="Z21" s="132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  <x:c r="P22" s="131"/>
      <x:c r="Q22" s="131"/>
      <x:c r="R22" s="131"/>
      <x:c r="S22" s="131"/>
      <x:c r="T22" s="131"/>
      <x:c r="U22" s="131"/>
      <x:c r="V22" s="131"/>
      <x:c r="W22" s="131"/>
      <x:c r="X22" s="131"/>
      <x:c r="Y22" s="131"/>
      <x:c r="Z22" s="132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  <x:c r="P23" s="131"/>
      <x:c r="Q23" s="131"/>
      <x:c r="R23" s="131"/>
      <x:c r="S23" s="131"/>
      <x:c r="T23" s="131"/>
      <x:c r="U23" s="131"/>
      <x:c r="V23" s="131"/>
      <x:c r="W23" s="131"/>
      <x:c r="X23" s="131"/>
      <x:c r="Y23" s="131"/>
      <x:c r="Z23" s="132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P24" s="131"/>
      <x:c r="Q24" s="131"/>
      <x:c r="R24" s="131"/>
      <x:c r="S24" s="131"/>
      <x:c r="T24" s="131"/>
      <x:c r="U24" s="131"/>
      <x:c r="V24" s="131"/>
      <x:c r="W24" s="131"/>
      <x:c r="X24" s="131"/>
      <x:c r="Y24" s="131"/>
      <x:c r="Z24" s="132"/>
    </x:row>
    <x:row r="25" ht="26.75" customHeight="1">
      <x:c r="A25" s="125"/>
      <x:c r="B25" s="125"/>
      <x:c r="C25" s="125"/>
      <x:c r="D25" s="125"/>
      <x:c r="E25" s="125"/>
      <x:c r="F25" s="125"/>
      <x:c r="G25" s="125"/>
      <x:c r="H25" s="125"/>
      <x:c r="I25" s="125"/>
      <x:c r="J25" s="124"/>
      <x:c r="K25" s="124"/>
      <x:c r="L25" s="124"/>
      <x:c r="M25" s="124"/>
      <x:c r="N25" s="124"/>
      <x:c r="P25" s="131"/>
      <x:c r="Q25" s="131"/>
      <x:c r="R25" s="131"/>
      <x:c r="S25" s="131"/>
      <x:c r="T25" s="131"/>
      <x:c r="U25" s="131"/>
      <x:c r="V25" s="131"/>
      <x:c r="W25" s="131"/>
      <x:c r="X25" s="131"/>
      <x:c r="Y25" s="131"/>
      <x:c r="Z25" s="132"/>
    </x:row>
    <x:row r="26" ht="26.75" customHeight="1">
      <x:c r="A26" s="121" t="s">
        <x:v>454</x:v>
      </x:c>
      <x:c r="B26" s="121"/>
      <x:c r="C26" s="121"/>
      <x:c r="D26" s="121" t="s">
        <x:v>455</x:v>
      </x:c>
      <x:c r="E26" s="122"/>
      <x:c r="F26" s="122"/>
      <x:c r="G26" s="122" t="s">
        <x:v>456</x:v>
      </x:c>
      <x:c r="H26" s="122"/>
      <x:c r="I26" s="122"/>
      <x:c r="J26" s="122" t="s">
        <x:v>457</x:v>
      </x:c>
      <x:c r="K26" s="121"/>
      <x:c r="L26" s="121"/>
      <x:c r="M26" s="121"/>
      <x:c r="N26" s="121"/>
      <x:c r="P26" s="131"/>
      <x:c r="Q26" s="131"/>
      <x:c r="R26" s="131"/>
      <x:c r="S26" s="131"/>
      <x:c r="T26" s="131"/>
      <x:c r="U26" s="131"/>
      <x:c r="V26" s="131"/>
      <x:c r="W26" s="131"/>
      <x:c r="X26" s="131"/>
      <x:c r="Y26" s="131"/>
      <x:c r="Z26" s="132"/>
    </x:row>
    <x:row r="27" ht="26.75" customHeight="1">
      <x:c r="A27" s="121"/>
      <x:c r="B27" s="123"/>
      <x:c r="C27" s="123"/>
      <x:c r="D27" s="123"/>
      <x:c r="E27" s="122"/>
      <x:c r="F27" s="122"/>
      <x:c r="G27" s="122"/>
      <x:c r="H27" s="122"/>
      <x:c r="I27" s="122"/>
      <x:c r="J27" s="122"/>
      <x:c r="K27" s="121"/>
      <x:c r="L27" s="121"/>
      <x:c r="M27" s="121"/>
      <x:c r="N27" s="121"/>
      <x:c r="P27" s="131"/>
      <x:c r="Q27" s="131"/>
      <x:c r="R27" s="131"/>
      <x:c r="S27" s="131"/>
      <x:c r="T27" s="131"/>
      <x:c r="U27" s="131"/>
      <x:c r="V27" s="131"/>
      <x:c r="W27" s="131"/>
      <x:c r="X27" s="131"/>
      <x:c r="Y27" s="131"/>
      <x:c r="Z27" s="132"/>
    </x:row>
    <x:row r="28" ht="26.75" customHeight="1">
      <x:c r="A28" s="121"/>
      <x:c r="B28" s="123"/>
      <x:c r="C28" s="123"/>
      <x:c r="D28" s="123"/>
      <x:c r="E28" s="122"/>
      <x:c r="F28" s="122"/>
      <x:c r="G28" s="122"/>
      <x:c r="H28" s="122"/>
      <x:c r="I28" s="122"/>
      <x:c r="J28" s="122"/>
      <x:c r="K28" s="121"/>
      <x:c r="L28" s="121"/>
      <x:c r="M28" s="121"/>
      <x:c r="N28" s="121"/>
      <x:c r="P28" s="131"/>
      <x:c r="Q28" s="131"/>
      <x:c r="R28" s="131"/>
      <x:c r="S28" s="131"/>
      <x:c r="T28" s="131"/>
      <x:c r="U28" s="131"/>
      <x:c r="V28" s="131"/>
      <x:c r="W28" s="131"/>
      <x:c r="X28" s="131"/>
      <x:c r="Y28" s="131"/>
      <x:c r="Z28" s="132"/>
    </x:row>
    <x:row r="29" ht="26.75" customHeight="1">
      <x:c r="A29" s="134" t="s">
        <x:v>458</x:v>
      </x:c>
      <x:c r="B29" s="135"/>
      <x:c r="C29" s="135"/>
      <x:c r="D29" s="135" t="s">
        <x:v>459</x:v>
      </x:c>
      <x:c r="E29" s="134"/>
      <x:c r="F29" s="134"/>
      <x:c r="G29" s="134" t="s">
        <x:v>460</x:v>
      </x:c>
      <x:c r="H29" s="134"/>
      <x:c r="I29" s="134"/>
      <x:c r="J29" s="136" t="s">
        <x:v>461</x:v>
      </x:c>
      <x:c r="K29" s="136"/>
      <x:c r="L29" s="136"/>
      <x:c r="M29" s="136"/>
      <x:c r="N29" s="136"/>
      <x:c r="P29" s="131"/>
      <x:c r="Q29" s="131"/>
      <x:c r="R29" s="131"/>
      <x:c r="S29" s="131"/>
      <x:c r="T29" s="131"/>
      <x:c r="U29" s="131"/>
      <x:c r="V29" s="131"/>
      <x:c r="W29" s="131"/>
      <x:c r="X29" s="131"/>
      <x:c r="Y29" s="131"/>
      <x:c r="Z29" s="132"/>
    </x:row>
    <x:row r="30" ht="26.75" customHeight="1">
      <x:c r="A30" s="134"/>
      <x:c r="B30" s="135"/>
      <x:c r="C30" s="135"/>
      <x:c r="D30" s="135"/>
      <x:c r="E30" s="134"/>
      <x:c r="F30" s="134"/>
      <x:c r="G30" s="134"/>
      <x:c r="H30" s="134"/>
      <x:c r="I30" s="134"/>
      <x:c r="J30" s="136"/>
      <x:c r="K30" s="136"/>
      <x:c r="L30" s="136"/>
      <x:c r="M30" s="136"/>
      <x:c r="N30" s="136"/>
      <x:c r="P30" s="131"/>
      <x:c r="Q30" s="131"/>
      <x:c r="R30" s="131"/>
      <x:c r="S30" s="131"/>
      <x:c r="T30" s="131"/>
      <x:c r="U30" s="131"/>
      <x:c r="V30" s="131"/>
      <x:c r="W30" s="131"/>
      <x:c r="X30" s="131"/>
      <x:c r="Y30" s="131"/>
      <x:c r="Z30" s="132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8"/>
      <x:c r="L31" s="118"/>
      <x:c r="M31" s="118"/>
      <x:c r="N31" s="118"/>
      <x:c r="P31" s="131"/>
      <x:c r="Q31" s="131"/>
      <x:c r="R31" s="131"/>
      <x:c r="S31" s="131"/>
      <x:c r="T31" s="131"/>
      <x:c r="U31" s="131"/>
      <x:c r="V31" s="131"/>
      <x:c r="W31" s="131"/>
      <x:c r="X31" s="131"/>
      <x:c r="Y31" s="131"/>
      <x:c r="Z31" s="132"/>
    </x:row>
    <x:row r="32">
      <x:c r="A32" s="112"/>
      <x:c r="B32" s="112"/>
      <x:c r="C32" s="112"/>
      <x:c r="D32" s="112"/>
      <x:c r="E32" s="112"/>
      <x:c r="F32" s="112"/>
      <x:c r="G32" s="115"/>
      <x:c r="H32" s="115"/>
      <x:c r="I32" s="115"/>
      <x:c r="J32" s="115"/>
      <x:c r="K32" s="118"/>
      <x:c r="L32" s="118"/>
      <x:c r="M32" s="118"/>
      <x:c r="N32" s="118"/>
      <x:c r="P32" s="131"/>
      <x:c r="Q32" s="131"/>
      <x:c r="R32" s="131"/>
      <x:c r="S32" s="131"/>
      <x:c r="T32" s="131"/>
      <x:c r="U32" s="131"/>
      <x:c r="V32" s="131"/>
      <x:c r="W32" s="131"/>
      <x:c r="X32" s="131"/>
      <x:c r="Y32" s="131"/>
      <x:c r="Z32" s="132"/>
    </x:row>
    <x:row r="33" ht="26.75" customHeight="1">
      <x:c r="A33" s="115"/>
      <x:c r="B33" s="115"/>
      <x:c r="C33" s="115"/>
      <x:c r="D33" s="115"/>
      <x:c r="E33" s="115"/>
      <x:c r="F33" s="115"/>
      <x:c r="G33" s="115"/>
      <x:c r="H33" s="113" t="s">
        <x:v>462</x:v>
      </x:c>
      <x:c r="I33" s="113"/>
      <x:c r="J33" s="113"/>
      <x:c r="K33" s="117" t="s">
        <x:v>463</x:v>
      </x:c>
      <x:c r="L33" s="117"/>
      <x:c r="M33" s="116" t="s">
        <x:v>464</x:v>
      </x:c>
      <x:c r="N33" s="116"/>
      <x:c r="P33" s="131"/>
      <x:c r="Q33" s="131"/>
      <x:c r="R33" s="131"/>
      <x:c r="S33" s="131"/>
      <x:c r="T33" s="131"/>
      <x:c r="U33" s="131"/>
      <x:c r="V33" s="131"/>
      <x:c r="W33" s="131"/>
      <x:c r="X33" s="131"/>
      <x:c r="Y33" s="131"/>
      <x:c r="Z33" s="132"/>
    </x:row>
    <x:row r="34" ht="26.75" customHeight="1">
      <x:c r="A34" s="115"/>
      <x:c r="B34" s="115"/>
      <x:c r="C34" s="115"/>
      <x:c r="D34" s="115"/>
      <x:c r="E34" s="115"/>
      <x:c r="F34" s="115"/>
      <x:c r="G34" s="115"/>
      <x:c r="H34" s="113"/>
      <x:c r="I34" s="113"/>
      <x:c r="J34" s="113"/>
      <x:c r="K34" s="114"/>
      <x:c r="L34" s="114"/>
      <x:c r="M34" s="113"/>
      <x:c r="N34" s="113"/>
      <x:c r="P34" s="131"/>
      <x:c r="Q34" s="131"/>
      <x:c r="R34" s="131"/>
      <x:c r="S34" s="131"/>
      <x:c r="T34" s="131"/>
      <x:c r="U34" s="131"/>
      <x:c r="V34" s="131"/>
      <x:c r="W34" s="131"/>
      <x:c r="X34" s="131"/>
      <x:c r="Y34" s="131"/>
      <x:c r="Z34" s="132"/>
    </x:row>
    <x:row r="35" ht="26.75" customHeight="1">
      <x:c r="A35" s="115"/>
      <x:c r="B35" s="115"/>
      <x:c r="C35" s="115"/>
      <x:c r="D35" s="115"/>
      <x:c r="E35" s="115"/>
      <x:c r="F35" s="115"/>
      <x:c r="G35" s="115"/>
      <x:c r="H35" s="113"/>
      <x:c r="I35" s="113"/>
      <x:c r="J35" s="113"/>
      <x:c r="K35" s="114"/>
      <x:c r="L35" s="114"/>
      <x:c r="M35" s="113"/>
      <x:c r="N35" s="113"/>
      <x:c r="P35" s="131"/>
      <x:c r="Q35" s="131"/>
      <x:c r="R35" s="131"/>
      <x:c r="S35" s="131"/>
      <x:c r="T35" s="131"/>
      <x:c r="U35" s="131"/>
      <x:c r="V35" s="131"/>
      <x:c r="W35" s="131"/>
      <x:c r="X35" s="131"/>
      <x:c r="Y35" s="131"/>
      <x:c r="Z35" s="132"/>
    </x:row>
    <x:row r="36" ht="26.75" customHeight="1">
      <x:c r="A36" s="112"/>
      <x:c r="B36" s="112"/>
      <x:c r="C36" s="112"/>
      <x:c r="D36" s="112"/>
      <x:c r="E36" s="112"/>
      <x:c r="F36" s="112"/>
      <x:c r="G36" s="112"/>
      <x:c r="H36" s="111" t="s">
        <x:v>465</x:v>
      </x:c>
      <x:c r="I36" s="111"/>
      <x:c r="J36" s="111"/>
      <x:c r="K36" s="111" t="s">
        <x:v>466</x:v>
      </x:c>
      <x:c r="L36" s="111"/>
      <x:c r="M36" s="111" t="s">
        <x:v>467</x:v>
      </x:c>
      <x:c r="N36" s="111"/>
      <x:c r="P36" s="131"/>
      <x:c r="Q36" s="131"/>
      <x:c r="R36" s="131"/>
      <x:c r="S36" s="131"/>
      <x:c r="T36" s="131"/>
      <x:c r="U36" s="131"/>
      <x:c r="V36" s="131"/>
      <x:c r="W36" s="131"/>
      <x:c r="X36" s="131"/>
      <x:c r="Y36" s="131"/>
      <x:c r="Z36" s="132"/>
    </x:row>
    <x:row r="37" ht="26.75" customHeight="1">
      <x:c r="A37" s="110"/>
      <x:c r="B37" s="110"/>
      <x:c r="C37" s="110"/>
      <x:c r="D37" s="109"/>
      <x:c r="E37" s="109"/>
      <x:c r="F37" s="109"/>
      <x:c r="G37" s="109"/>
      <x:c r="H37" s="111"/>
      <x:c r="I37" s="111"/>
      <x:c r="J37" s="111"/>
      <x:c r="K37" s="111"/>
      <x:c r="L37" s="111"/>
      <x:c r="M37" s="111"/>
      <x:c r="N37" s="111"/>
      <x:c r="P37" s="131"/>
      <x:c r="Q37" s="131"/>
      <x:c r="R37" s="131"/>
      <x:c r="S37" s="131"/>
      <x:c r="T37" s="131"/>
      <x:c r="U37" s="131"/>
      <x:c r="V37" s="131"/>
      <x:c r="W37" s="131"/>
      <x:c r="X37" s="131"/>
      <x:c r="Y37" s="131"/>
      <x:c r="Z37" s="132"/>
    </x:row>
    <x:row r="38" ht="26.75" customHeight="1">
      <x:c r="A38" s="110"/>
      <x:c r="B38" s="110"/>
      <x:c r="C38" s="110"/>
      <x:c r="D38" s="109"/>
      <x:c r="E38" s="109"/>
      <x:c r="F38" s="109"/>
      <x:c r="G38" s="109"/>
      <x:c r="H38" s="111"/>
      <x:c r="I38" s="111"/>
      <x:c r="J38" s="111"/>
      <x:c r="K38" s="111"/>
      <x:c r="L38" s="111"/>
      <x:c r="M38" s="111"/>
      <x:c r="N38" s="111"/>
      <x:c r="P38" s="131"/>
      <x:c r="Q38" s="131"/>
      <x:c r="R38" s="131"/>
      <x:c r="S38" s="131"/>
      <x:c r="T38" s="131"/>
      <x:c r="U38" s="131"/>
      <x:c r="V38" s="131"/>
      <x:c r="W38" s="131"/>
      <x:c r="X38" s="131"/>
      <x:c r="Y38" s="131"/>
      <x:c r="Z38" s="132"/>
    </x:row>
    <x:row r="39" ht="32" customHeight="1">
      <x:c r="A39" s="110"/>
      <x:c r="B39" s="110"/>
      <x:c r="C39" s="110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P39" s="131"/>
      <x:c r="Q39" s="131"/>
      <x:c r="R39" s="131"/>
      <x:c r="S39" s="131"/>
      <x:c r="T39" s="131"/>
      <x:c r="U39" s="131"/>
      <x:c r="V39" s="131"/>
      <x:c r="W39" s="131"/>
      <x:c r="X39" s="131"/>
      <x:c r="Y39" s="131"/>
      <x:c r="Z39" s="132"/>
    </x:row>
    <x:row r="40" ht="32" customHeight="1">
      <x:c r="A40" s="108"/>
      <x:c r="B40" s="108"/>
      <x:c r="C40" s="108"/>
      <x:c r="D40" s="107"/>
      <x:c r="E40" s="107"/>
      <x:c r="F40" s="107"/>
      <x:c r="G40" s="107"/>
      <x:c r="H40" s="107"/>
      <x:c r="I40" s="107"/>
      <x:c r="J40" s="107"/>
      <x:c r="K40" s="107"/>
      <x:c r="L40" s="107"/>
      <x:c r="M40" s="107"/>
      <x:c r="N40" s="107"/>
      <x:c r="P40" s="131"/>
      <x:c r="Q40" s="131"/>
      <x:c r="R40" s="131"/>
      <x:c r="S40" s="131"/>
      <x:c r="T40" s="131"/>
      <x:c r="U40" s="131"/>
      <x:c r="V40" s="131"/>
      <x:c r="W40" s="131"/>
      <x:c r="X40" s="131"/>
      <x:c r="Y40" s="131"/>
      <x:c r="Z40" s="132"/>
    </x:row>
    <x:row r="41" ht="32" customHeight="1">
      <x:c r="A41" s="106"/>
      <x:c r="B41" s="106"/>
      <x:c r="C41" s="106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P41" s="131"/>
      <x:c r="Q41" s="131"/>
      <x:c r="R41" s="131"/>
      <x:c r="S41" s="131"/>
      <x:c r="T41" s="131"/>
      <x:c r="U41" s="131"/>
      <x:c r="V41" s="131"/>
      <x:c r="W41" s="131"/>
      <x:c r="X41" s="131"/>
      <x:c r="Y41" s="131"/>
      <x:c r="Z41" s="132"/>
    </x:row>
    <x:row r="42" ht="32" customHeight="1">
      <x:c r="A42" s="106"/>
      <x:c r="B42" s="106"/>
      <x:c r="C42" s="106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P42" s="131"/>
      <x:c r="Q42" s="131"/>
      <x:c r="R42" s="131"/>
      <x:c r="S42" s="131"/>
      <x:c r="T42" s="131"/>
      <x:c r="U42" s="131"/>
      <x:c r="V42" s="131"/>
      <x:c r="W42" s="131"/>
      <x:c r="X42" s="131"/>
      <x:c r="Y42" s="131"/>
      <x:c r="Z42" s="132"/>
    </x:row>
    <x:row r="43" ht="32" customHeight="1">
      <x:c r="A43" s="106"/>
      <x:c r="B43" s="106"/>
      <x:c r="C43" s="106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P43" s="131"/>
      <x:c r="Q43" s="131"/>
      <x:c r="R43" s="131"/>
      <x:c r="S43" s="131"/>
      <x:c r="T43" s="131"/>
      <x:c r="U43" s="131"/>
      <x:c r="V43" s="131"/>
      <x:c r="W43" s="131"/>
      <x:c r="X43" s="131"/>
      <x:c r="Y43" s="131"/>
      <x:c r="Z43" s="132"/>
    </x:row>
    <x:row r="44" ht="32" customHeight="1">
      <x:c r="A44" s="106"/>
      <x:c r="B44" s="106"/>
      <x:c r="C44" s="106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P44" s="131"/>
      <x:c r="Q44" s="131"/>
      <x:c r="R44" s="131"/>
      <x:c r="S44" s="131"/>
      <x:c r="T44" s="131"/>
      <x:c r="U44" s="131"/>
      <x:c r="V44" s="131"/>
      <x:c r="W44" s="131"/>
      <x:c r="X44" s="131"/>
      <x:c r="Y44" s="131"/>
      <x:c r="Z44" s="132"/>
    </x:row>
    <x:row r="45" ht="32" customHeight="1">
      <x:c r="A45" s="106"/>
      <x:c r="B45" s="106"/>
      <x:c r="C45" s="106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P45" s="131"/>
      <x:c r="Q45" s="131"/>
      <x:c r="R45" s="131"/>
      <x:c r="S45" s="131"/>
      <x:c r="T45" s="131"/>
      <x:c r="U45" s="131"/>
      <x:c r="V45" s="131"/>
      <x:c r="W45" s="131"/>
      <x:c r="X45" s="131"/>
      <x:c r="Y45" s="131"/>
      <x:c r="Z45" s="132"/>
    </x:row>
    <x:row r="46" ht="32" customHeight="1">
      <x:c r="A46" s="106"/>
      <x:c r="B46" s="106"/>
      <x:c r="C46" s="106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P46" s="131"/>
      <x:c r="Q46" s="131"/>
      <x:c r="R46" s="131"/>
      <x:c r="S46" s="131"/>
      <x:c r="T46" s="131"/>
      <x:c r="U46" s="131"/>
      <x:c r="V46" s="131"/>
      <x:c r="W46" s="131"/>
      <x:c r="X46" s="131"/>
      <x:c r="Y46" s="131"/>
      <x:c r="Z46" s="132"/>
    </x:row>
  </x:sheetData>
  <x:mergeCells>
    <x:mergeCell ref="G8:I8"/>
    <x:mergeCell ref="J5:L5"/>
    <x:mergeCell ref="J6:L7"/>
    <x:mergeCell ref="J8:L8"/>
    <x:mergeCell ref="M4:N4"/>
    <x:mergeCell ref="M5:N6"/>
    <x:mergeCell ref="A1:N1"/>
    <x:mergeCell ref="A2:N2"/>
    <x:mergeCell ref="A5:C5"/>
    <x:mergeCell ref="A6:C7"/>
    <x:mergeCell ref="A8:C8"/>
    <x:mergeCell ref="D5:F5"/>
    <x:mergeCell ref="D6:F7"/>
    <x:mergeCell ref="D8:F8"/>
    <x:mergeCell ref="G5:I5"/>
    <x:mergeCell ref="G6:I7"/>
    <x:mergeCell ref="A10:G10"/>
    <x:mergeCell ref="H10:N10"/>
    <x:mergeCell ref="A32:F32"/>
    <x:mergeCell ref="A36:N36"/>
    <x:mergeCell ref="H33:J35"/>
    <x:mergeCell ref="K33:L35"/>
    <x:mergeCell ref="M33:N35"/>
    <x:mergeCell ref="A37:C37"/>
    <x:mergeCell ref="D37:N37"/>
    <x:mergeCell ref="A38:C38"/>
    <x:mergeCell ref="D38:N38"/>
    <x:mergeCell ref="A39:C39"/>
    <x:mergeCell ref="D39:N39"/>
    <x:mergeCell ref="P1:Z1"/>
    <x:mergeCell ref="A26:C28"/>
    <x:mergeCell ref="A29:C30"/>
    <x:mergeCell ref="D26:F28"/>
    <x:mergeCell ref="D29:F30"/>
    <x:mergeCell ref="G26:I28"/>
    <x:mergeCell ref="G29:I30"/>
    <x:mergeCell ref="J26:N28"/>
    <x:mergeCell ref="J29:N30"/>
    <x:mergeCell ref="M7:N8"/>
  </x:mergeCells>
  <x:pageMargins left="0.7" right="0.7" top="0.75" bottom="0.75" header="0.3" footer="0.3"/>
  <x:drawing xmlns:r="http://schemas.openxmlformats.org/officeDocument/2006/relationships" r:id="R5baf3bb5b6314269"/>
</x:worksheet>
</file>

<file path=xl/worksheets/sheet17.xml><?xml version="1.0" encoding="utf-8"?>
<x:worksheet xmlns:x="http://schemas.openxmlformats.org/spreadsheetml/2006/main">
  <x:sheetFormatPr baseColWidth="10" defaultRowHeight="16"/>
  <x:cols>
    <x:col min="1" max="1" width="11" hidden="0" customWidth="1"/>
    <x:col min="2" max="2" width="20" hidden="0" customWidth="1"/>
    <x:col min="3" max="3" width="43" hidden="0" customWidth="1"/>
    <x:col min="4" max="4" width="18" hidden="0" customWidth="1"/>
    <x:col min="5" max="5" width="12" hidden="0" customWidth="1"/>
    <x:col min="6" max="6" width="12" hidden="0" customWidth="1"/>
    <x:col min="7" max="7" width="48" hidden="0" customWidth="1"/>
  </x:cols>
  <x:sheetData>
    <x:row r="1" ht="28" customHeight="1">
      <x:c r="A1" s="247" t="str">
        <x:v>NATIONAL GRID PLC — MODEL INTEGRITY CHECKS</x:v>
      </x:c>
      <x:c r="B1" s="247"/>
      <x:c r="C1" s="247"/>
      <x:c r="D1" s="247"/>
      <x:c r="E1" s="247"/>
      <x:c r="F1" s="247"/>
      <x:c r="G1" s="247"/>
    </x:row>
    <x:row r="2" ht="22" customHeight="1">
      <x:c r="A2" s="255" t="str">
        <x:v>Automated checks covering the three-statement model, supporting schedules, scenarios and DCF valuation</x:v>
      </x:c>
      <x:c r="B2" s="255"/>
      <x:c r="C2" s="255"/>
      <x:c r="D2" s="255"/>
      <x:c r="E2" s="255"/>
      <x:c r="F2" s="255"/>
      <x:c r="G2" s="255"/>
    </x:row>
    <x:row r="4">
      <x:c r="A4" s="263" t="str">
        <x:v>OVERALL STATUS</x:v>
      </x:c>
      <x:c r="B4" s="263"/>
      <x:c r="C4" s="263" t="str">
        <x:v>TOTAL CHECKS</x:v>
      </x:c>
      <x:c r="D4" s="263" t="str">
        <x:v>PASSED</x:v>
      </x:c>
      <x:c r="E4" s="263" t="str">
        <x:v>FAILED</x:v>
      </x:c>
      <x:c r="F4" s="263" t="str">
        <x:v>MODEL ERROR</x:v>
      </x:c>
    </x:row>
    <x:row r="5" ht="24" customHeight="1">
      <x:c r="A5" s="271" t="str">
        <x:f>IF(D5=C5,"PASS","FAIL")</x:f>
        <x:v>PASS</x:v>
      </x:c>
      <x:c r="B5" s="271"/>
      <x:c r="C5" s="271" t="n">
        <x:f>COUNTA(A9:A24)</x:f>
        <x:v>16</x:v>
      </x:c>
      <x:c r="D5" s="271" t="n">
        <x:f>COUNTIF(F9:F24,"PASS")</x:f>
        <x:v>16</x:v>
      </x:c>
      <x:c r="E5" s="271" t="n">
        <x:f>COUNTIF(F9:F24,"FAIL")</x:f>
        <x:v>0</x:v>
      </x:c>
      <x:c r="F5" s="294" t="n">
        <x:f>SUM(D9:D24)</x:f>
        <x:v>6.139089236967266e-11</x:v>
      </x:c>
    </x:row>
    <x:row r="8" ht="26" customHeight="1">
      <x:c r="A8" s="279" t="str">
        <x:v>ID</x:v>
      </x:c>
      <x:c r="B8" s="279" t="str">
        <x:v>Model Area</x:v>
      </x:c>
      <x:c r="C8" s="279" t="str">
        <x:v>Integrity Check</x:v>
      </x:c>
      <x:c r="D8" s="279" t="str">
        <x:v>Difference / Error</x:v>
      </x:c>
      <x:c r="E8" s="279" t="str">
        <x:v>Tolerance</x:v>
      </x:c>
      <x:c r="F8" s="279" t="str">
        <x:v>Status</x:v>
      </x:c>
      <x:c r="G8" s="279" t="str">
        <x:v>Purpose</x:v>
      </x:c>
    </x:row>
    <x:row r="9" ht="38" customHeight="1">
      <x:c r="A9" s="296" t="str">
        <x:v>CHK-01</x:v>
      </x:c>
      <x:c r="B9" s="296" t="str">
        <x:v>Balance Sheet</x:v>
      </x:c>
      <x:c r="C9" s="297" t="str">
        <x:v>Total Assets = Total Liabilities &amp; Equity</x:v>
      </x:c>
      <x:c r="D9" s="298" t="n">
        <x:f>ABS('06_BALANCE_SHEET'!B18-'06_BALANCE_SHEET'!B36)+ABS('06_BALANCE_SHEET'!C18-'06_BALANCE_SHEET'!C36)+ABS('06_BALANCE_SHEET'!D18-'06_BALANCE_SHEET'!D36)+ABS('06_BALANCE_SHEET'!E18-'06_BALANCE_SHEET'!E36)+ABS('06_BALANCE_SHEET'!F18-'06_BALANCE_SHEET'!F36)+ABS('06_BALANCE_SHEET'!G18-'06_BALANCE_SHEET'!G36)+ABS('06_BALANCE_SHEET'!H18-'06_BALANCE_SHEET'!H36)+ABS('06_BALANCE_SHEET'!I18-'06_BALANCE_SHEET'!I36)</x:f>
        <x:v>5.820766091346741e-11</x:v>
      </x:c>
      <x:c r="E9" s="298" t="n">
        <x:v>0.1</x:v>
      </x:c>
      <x:c r="F9" s="299" t="str">
        <x:f>IF(ABS(D9)&lt;=E9,"PASS","FAIL")</x:f>
        <x:v>PASS</x:v>
      </x:c>
      <x:c r="G9" s="297" t="str">
        <x:v>Confirms the balance sheet balances across all historical and forecast years.</x:v>
      </x:c>
    </x:row>
    <x:row r="10" ht="38" customHeight="1">
      <x:c r="A10" s="285" t="str">
        <x:v>CHK-02</x:v>
      </x:c>
      <x:c r="B10" s="285" t="str">
        <x:v>Cash Flow</x:v>
      </x:c>
      <x:c r="C10" s="288" t="str">
        <x:v>Opening Cash + Net Change + FX = Ending Cash</x:v>
      </x:c>
      <x:c r="D10" s="292" t="n">
        <x:f>ABS('07_CASH_FLOW'!B23+'07_CASH_FLOW'!B24+'07_CASH_FLOW'!B25-'07_CASH_FLOW'!B26)+ABS('07_CASH_FLOW'!C23+'07_CASH_FLOW'!C24+'07_CASH_FLOW'!C25-'07_CASH_FLOW'!C26)+ABS('07_CASH_FLOW'!D23+'07_CASH_FLOW'!D24+'07_CASH_FLOW'!D25-'07_CASH_FLOW'!D26)+ABS('07_CASH_FLOW'!E23+'07_CASH_FLOW'!E24+'07_CASH_FLOW'!E25-'07_CASH_FLOW'!E26)+ABS('07_CASH_FLOW'!F23+'07_CASH_FLOW'!F24+'07_CASH_FLOW'!F25-'07_CASH_FLOW'!F26)+ABS('07_CASH_FLOW'!G23+'07_CASH_FLOW'!G24+'07_CASH_FLOW'!G25-'07_CASH_FLOW'!G26)+ABS('07_CASH_FLOW'!H23+'07_CASH_FLOW'!H24+'07_CASH_FLOW'!H25-'07_CASH_FLOW'!H26)+ABS('07_CASH_FLOW'!I23+'07_CASH_FLOW'!I24+'07_CASH_FLOW'!I25-'07_CASH_FLOW'!I26)</x:f>
        <x:v>0</x:v>
      </x:c>
      <x:c r="E10" s="292" t="n">
        <x:v>0.1</x:v>
      </x:c>
      <x:c r="F10" s="290" t="str">
        <x:f>IF(ABS(D10)&lt;=E10,"PASS","FAIL")</x:f>
        <x:v>PASS</x:v>
      </x:c>
      <x:c r="G10" s="288" t="str">
        <x:v>Confirms the cash roll-forward is mathematically consistent.</x:v>
      </x:c>
    </x:row>
    <x:row r="11" ht="38" customHeight="1">
      <x:c r="A11" s="296" t="str">
        <x:v>CHK-03</x:v>
      </x:c>
      <x:c r="B11" s="296" t="str">
        <x:v>3-Statement Link</x:v>
      </x:c>
      <x:c r="C11" s="297" t="str">
        <x:v>Cash Flow ending cash = Balance Sheet cash</x:v>
      </x:c>
      <x:c r="D11" s="298" t="n">
        <x:f>ABS('07_CASH_FLOW'!B26-'06_BALANCE_SHEET'!B14)+ABS('07_CASH_FLOW'!C26-'06_BALANCE_SHEET'!C14)+ABS('07_CASH_FLOW'!D26-'06_BALANCE_SHEET'!D14)+ABS('07_CASH_FLOW'!E26-'06_BALANCE_SHEET'!E14)+ABS('07_CASH_FLOW'!F26-'06_BALANCE_SHEET'!F14)+ABS('07_CASH_FLOW'!G26-'06_BALANCE_SHEET'!G14)+ABS('07_CASH_FLOW'!H26-'06_BALANCE_SHEET'!H14)+ABS('07_CASH_FLOW'!I26-'06_BALANCE_SHEET'!I14)</x:f>
        <x:v>0</x:v>
      </x:c>
      <x:c r="E11" s="298" t="n">
        <x:v>0.1</x:v>
      </x:c>
      <x:c r="F11" s="299" t="str">
        <x:f>IF(ABS(D11)&lt;=E11,"PASS","FAIL")</x:f>
        <x:v>PASS</x:v>
      </x:c>
      <x:c r="G11" s="297" t="str">
        <x:v>Checks that the cash flow statement links correctly into the balance sheet.</x:v>
      </x:c>
    </x:row>
    <x:row r="12" ht="38" customHeight="1">
      <x:c r="A12" s="285" t="str">
        <x:v>CHK-04</x:v>
      </x:c>
      <x:c r="B12" s="285" t="str">
        <x:v>PP&amp;E Schedule</x:v>
      </x:c>
      <x:c r="C12" s="288" t="str">
        <x:v>Opening PP&amp;E + Additions - Depreciation + Other = Closing PP&amp;E</x:v>
      </x:c>
      <x:c r="D12" s="292" t="n">
        <x:f>ABS('08_CAPEX_PPE'!B5+'08_CAPEX_PPE'!B6-'08_CAPEX_PPE'!B7+'08_CAPEX_PPE'!B8-'08_CAPEX_PPE'!B9)+ABS('08_CAPEX_PPE'!C5+'08_CAPEX_PPE'!C6-'08_CAPEX_PPE'!C7+'08_CAPEX_PPE'!C8-'08_CAPEX_PPE'!C9)+ABS('08_CAPEX_PPE'!D5+'08_CAPEX_PPE'!D6-'08_CAPEX_PPE'!D7+'08_CAPEX_PPE'!D8-'08_CAPEX_PPE'!D9)+ABS('08_CAPEX_PPE'!E5+'08_CAPEX_PPE'!E6-'08_CAPEX_PPE'!E7+'08_CAPEX_PPE'!E8-'08_CAPEX_PPE'!E9)+ABS('08_CAPEX_PPE'!F5+'08_CAPEX_PPE'!F6-'08_CAPEX_PPE'!F7+'08_CAPEX_PPE'!F8-'08_CAPEX_PPE'!F9)+ABS('08_CAPEX_PPE'!G5+'08_CAPEX_PPE'!G6-'08_CAPEX_PPE'!G7+'08_CAPEX_PPE'!G8-'08_CAPEX_PPE'!G9)</x:f>
        <x:v>0</x:v>
      </x:c>
      <x:c r="E12" s="292" t="n">
        <x:v>0.1</x:v>
      </x:c>
      <x:c r="F12" s="290" t="str">
        <x:f>IF(ABS(D12)&lt;=E12,"PASS","FAIL")</x:f>
        <x:v>PASS</x:v>
      </x:c>
      <x:c r="G12" s="288" t="str">
        <x:v>Validates the PP&amp;E roll-forward schedule.</x:v>
      </x:c>
    </x:row>
    <x:row r="13" ht="38" customHeight="1">
      <x:c r="A13" s="296" t="str">
        <x:v>CHK-05</x:v>
      </x:c>
      <x:c r="B13" s="296" t="str">
        <x:v>PP&amp;E / Balance Sheet</x:v>
      </x:c>
      <x:c r="C13" s="297" t="str">
        <x:v>PP&amp;E schedule closing balance = Balance Sheet PP&amp;E</x:v>
      </x:c>
      <x:c r="D13" s="298" t="n">
        <x:f>ABS('08_CAPEX_PPE'!B9-'06_BALANCE_SHEET'!D8)+ABS('08_CAPEX_PPE'!C9-'06_BALANCE_SHEET'!E8)+ABS('08_CAPEX_PPE'!D9-'06_BALANCE_SHEET'!F8)+ABS('08_CAPEX_PPE'!E9-'06_BALANCE_SHEET'!G8)+ABS('08_CAPEX_PPE'!F9-'06_BALANCE_SHEET'!H8)+ABS('08_CAPEX_PPE'!G9-'06_BALANCE_SHEET'!I8)</x:f>
        <x:v>0</x:v>
      </x:c>
      <x:c r="E13" s="298" t="n">
        <x:v>0.1</x:v>
      </x:c>
      <x:c r="F13" s="299" t="str">
        <x:f>IF(ABS(D13)&lt;=E13,"PASS","FAIL")</x:f>
        <x:v>PASS</x:v>
      </x:c>
      <x:c r="G13" s="297" t="str">
        <x:v>Confirms the supporting PP&amp;E schedule ties to the balance sheet.</x:v>
      </x:c>
    </x:row>
    <x:row r="14" ht="38" customHeight="1">
      <x:c r="A14" s="285" t="str">
        <x:v>CHK-06</x:v>
      </x:c>
      <x:c r="B14" s="285" t="str">
        <x:v>Debt Schedule</x:v>
      </x:c>
      <x:c r="C14" s="288" t="str">
        <x:v>Opening Debt + Borrowings - Repayments + Other + Funding = Closing Debt</x:v>
      </x:c>
      <x:c r="D14" s="292" t="n">
        <x:f>ABS('09_DEBT'!B5+'09_DEBT'!B6-'09_DEBT'!B7+'09_DEBT'!B8+'09_DEBT'!B14-'09_DEBT'!B9)+ABS('09_DEBT'!C5+'09_DEBT'!C6-'09_DEBT'!C7+'09_DEBT'!C8+'09_DEBT'!C14-'09_DEBT'!C9)+ABS('09_DEBT'!D5+'09_DEBT'!D6-'09_DEBT'!D7+'09_DEBT'!D8+'09_DEBT'!D14-'09_DEBT'!D9)+ABS('09_DEBT'!E5+'09_DEBT'!E6-'09_DEBT'!E7+'09_DEBT'!E8+'09_DEBT'!E14-'09_DEBT'!E9)+ABS('09_DEBT'!F5+'09_DEBT'!F6-'09_DEBT'!F7+'09_DEBT'!F8+'09_DEBT'!F14-'09_DEBT'!F9)+ABS('09_DEBT'!G5+'09_DEBT'!G6-'09_DEBT'!G7+'09_DEBT'!G8+'09_DEBT'!G14-'09_DEBT'!G9)</x:f>
        <x:v>0</x:v>
      </x:c>
      <x:c r="E14" s="292" t="n">
        <x:v>0.1</x:v>
      </x:c>
      <x:c r="F14" s="290" t="str">
        <x:f>IF(ABS(D14)&lt;=E14,"PASS","FAIL")</x:f>
        <x:v>PASS</x:v>
      </x:c>
      <x:c r="G14" s="288" t="str">
        <x:v>Validates the debt roll-forward including additional liquidity funding.</x:v>
      </x:c>
    </x:row>
    <x:row r="15" ht="38" customHeight="1">
      <x:c r="A15" s="296" t="str">
        <x:v>CHK-07</x:v>
      </x:c>
      <x:c r="B15" s="296" t="str">
        <x:v>Debt / Balance Sheet</x:v>
      </x:c>
      <x:c r="C15" s="297" t="str">
        <x:v>Debt schedule closing debt = Balance Sheet borrowings</x:v>
      </x:c>
      <x:c r="D15" s="298" t="n">
        <x:f>ABS('09_DEBT'!B9-'06_BALANCE_SHEET'!D21)+ABS('09_DEBT'!C9-'06_BALANCE_SHEET'!E21)+ABS('09_DEBT'!D9-'06_BALANCE_SHEET'!F21)+ABS('09_DEBT'!E9-'06_BALANCE_SHEET'!G21)+ABS('09_DEBT'!F9-'06_BALANCE_SHEET'!H21)+ABS('09_DEBT'!G9-'06_BALANCE_SHEET'!I21)</x:f>
        <x:v>0</x:v>
      </x:c>
      <x:c r="E15" s="298" t="n">
        <x:v>0.1</x:v>
      </x:c>
      <x:c r="F15" s="299" t="str">
        <x:f>IF(ABS(D15)&lt;=E15,"PASS","FAIL")</x:f>
        <x:v>PASS</x:v>
      </x:c>
      <x:c r="G15" s="297" t="str">
        <x:v>Confirms debt schedule balances feed correctly into the balance sheet.</x:v>
      </x:c>
    </x:row>
    <x:row r="16" ht="38" customHeight="1">
      <x:c r="A16" s="285" t="str">
        <x:v>CHK-08</x:v>
      </x:c>
      <x:c r="B16" s="285" t="str">
        <x:v>Debt / Income Statement</x:v>
      </x:c>
      <x:c r="C16" s="288" t="str">
        <x:v>Debt schedule finance cost = Income Statement finance cost</x:v>
      </x:c>
      <x:c r="D16" s="292" t="n">
        <x:f>ABS('09_DEBT'!B13+'05_INCOME_STATEMENT'!D12)+ABS('09_DEBT'!C13+'05_INCOME_STATEMENT'!E12)+ABS('09_DEBT'!D13+'05_INCOME_STATEMENT'!F12)+ABS('09_DEBT'!E13+'05_INCOME_STATEMENT'!G12)+ABS('09_DEBT'!F13+'05_INCOME_STATEMENT'!H12)+ABS('09_DEBT'!G13+'05_INCOME_STATEMENT'!I12)</x:f>
        <x:v>0</x:v>
      </x:c>
      <x:c r="E16" s="292" t="n">
        <x:v>0.1</x:v>
      </x:c>
      <x:c r="F16" s="290" t="str">
        <x:f>IF(ABS(D16)&lt;=E16,"PASS","FAIL")</x:f>
        <x:v>PASS</x:v>
      </x:c>
      <x:c r="G16" s="288" t="str">
        <x:v>Checks that calculated debt interest expense ties to the income statement.</x:v>
      </x:c>
    </x:row>
    <x:row r="17" ht="38" customHeight="1">
      <x:c r="A17" s="296" t="str">
        <x:v>CHK-09</x:v>
      </x:c>
      <x:c r="B17" s="296" t="str">
        <x:v>Income Statement</x:v>
      </x:c>
      <x:c r="C17" s="297" t="str">
        <x:v>Profit Before Tax + Tax Expense = Profit After Tax</x:v>
      </x:c>
      <x:c r="D17" s="298" t="n">
        <x:f>ABS('05_INCOME_STATEMENT'!B15+'05_INCOME_STATEMENT'!B17-'05_INCOME_STATEMENT'!B19)+ABS('05_INCOME_STATEMENT'!C15+'05_INCOME_STATEMENT'!C17-'05_INCOME_STATEMENT'!C19)+ABS('05_INCOME_STATEMENT'!D15+'05_INCOME_STATEMENT'!D17-'05_INCOME_STATEMENT'!D19)+ABS('05_INCOME_STATEMENT'!E15+'05_INCOME_STATEMENT'!E17-'05_INCOME_STATEMENT'!E19)+ABS('05_INCOME_STATEMENT'!F15+'05_INCOME_STATEMENT'!F17-'05_INCOME_STATEMENT'!F19)+ABS('05_INCOME_STATEMENT'!G15+'05_INCOME_STATEMENT'!G17-'05_INCOME_STATEMENT'!G19)+ABS('05_INCOME_STATEMENT'!H15+'05_INCOME_STATEMENT'!H17-'05_INCOME_STATEMENT'!H19)+ABS('05_INCOME_STATEMENT'!I15+'05_INCOME_STATEMENT'!I17-'05_INCOME_STATEMENT'!I19)</x:f>
        <x:v>0</x:v>
      </x:c>
      <x:c r="E17" s="298" t="n">
        <x:v>0.1</x:v>
      </x:c>
      <x:c r="F17" s="299" t="str">
        <x:f>IF(ABS(D17)&lt;=E17,"PASS","FAIL")</x:f>
        <x:v>PASS</x:v>
      </x:c>
      <x:c r="G17" s="297" t="str">
        <x:v>Validates the income statement tax and profit bridge.</x:v>
      </x:c>
    </x:row>
    <x:row r="18" ht="38" customHeight="1">
      <x:c r="A18" s="285" t="str">
        <x:v>CHK-10</x:v>
      </x:c>
      <x:c r="B18" s="285" t="str">
        <x:v>Income Statement</x:v>
      </x:c>
      <x:c r="C18" s="288" t="str">
        <x:v>Revenue × Operating Margin = Operating Profit</x:v>
      </x:c>
      <x:c r="D18" s="292" t="n">
        <x:f>ABS('05_INCOME_STATEMENT'!B5*'05_INCOME_STATEMENT'!B9-'05_INCOME_STATEMENT'!B8)+ABS('05_INCOME_STATEMENT'!C5*'05_INCOME_STATEMENT'!C9-'05_INCOME_STATEMENT'!C8)+ABS('05_INCOME_STATEMENT'!D5*'05_INCOME_STATEMENT'!D9-'05_INCOME_STATEMENT'!D8)+ABS('05_INCOME_STATEMENT'!E5*'05_INCOME_STATEMENT'!E9-'05_INCOME_STATEMENT'!E8)+ABS('05_INCOME_STATEMENT'!F5*'05_INCOME_STATEMENT'!F9-'05_INCOME_STATEMENT'!F8)+ABS('05_INCOME_STATEMENT'!G5*'05_INCOME_STATEMENT'!G9-'05_INCOME_STATEMENT'!G8)+ABS('05_INCOME_STATEMENT'!H5*'05_INCOME_STATEMENT'!H9-'05_INCOME_STATEMENT'!H8)+ABS('05_INCOME_STATEMENT'!I5*'05_INCOME_STATEMENT'!I9-'05_INCOME_STATEMENT'!I8)</x:f>
        <x:v>9.094947017729282e-13</x:v>
      </x:c>
      <x:c r="E18" s="292" t="n">
        <x:v>0.1</x:v>
      </x:c>
      <x:c r="F18" s="290" t="str">
        <x:f>IF(ABS(D18)&lt;=E18,"PASS","FAIL")</x:f>
        <x:v>PASS</x:v>
      </x:c>
      <x:c r="G18" s="288" t="str">
        <x:v>Confirms operating margin calculations are internally consistent.</x:v>
      </x:c>
    </x:row>
    <x:row r="19" ht="38" customHeight="1">
      <x:c r="A19" s="296" t="str">
        <x:v>CHK-11</x:v>
      </x:c>
      <x:c r="B19" s="296" t="str">
        <x:v>Equity</x:v>
      </x:c>
      <x:c r="C19" s="297" t="str">
        <x:v>Opening Equity + PAT + Dividends + Other = Closing Equity</x:v>
      </x:c>
      <x:c r="D19" s="298" t="n">
        <x:f>ABS('06_BALANCE_SHEET'!C30+'06_BALANCE_SHEET'!C31+'06_BALANCE_SHEET'!C32+'06_BALANCE_SHEET'!C33-'06_BALANCE_SHEET'!C34)+ABS('06_BALANCE_SHEET'!D30+'06_BALANCE_SHEET'!D31+'06_BALANCE_SHEET'!D32+'06_BALANCE_SHEET'!D33-'06_BALANCE_SHEET'!D34)+ABS('06_BALANCE_SHEET'!E30+'06_BALANCE_SHEET'!E31+'06_BALANCE_SHEET'!E32+'06_BALANCE_SHEET'!E33-'06_BALANCE_SHEET'!E34)+ABS('06_BALANCE_SHEET'!F30+'06_BALANCE_SHEET'!F31+'06_BALANCE_SHEET'!F32+'06_BALANCE_SHEET'!F33-'06_BALANCE_SHEET'!F34)+ABS('06_BALANCE_SHEET'!G30+'06_BALANCE_SHEET'!G31+'06_BALANCE_SHEET'!G32+'06_BALANCE_SHEET'!G33-'06_BALANCE_SHEET'!G34)+ABS('06_BALANCE_SHEET'!H30+'06_BALANCE_SHEET'!H31+'06_BALANCE_SHEET'!H32+'06_BALANCE_SHEET'!H33-'06_BALANCE_SHEET'!H34)+ABS('06_BALANCE_SHEET'!I30+'06_BALANCE_SHEET'!I31+'06_BALANCE_SHEET'!I32+'06_BALANCE_SHEET'!I33-'06_BALANCE_SHEET'!I34)</x:f>
        <x:v>0</x:v>
      </x:c>
      <x:c r="E19" s="298" t="n">
        <x:v>0.1</x:v>
      </x:c>
      <x:c r="F19" s="299" t="str">
        <x:f>IF(ABS(D19)&lt;=E19,"PASS","FAIL")</x:f>
        <x:v>PASS</x:v>
      </x:c>
      <x:c r="G19" s="297" t="str">
        <x:v>Validates the shareholders' equity roll-forward.</x:v>
      </x:c>
    </x:row>
    <x:row r="20" ht="38" customHeight="1">
      <x:c r="A20" s="285" t="str">
        <x:v>CHK-12</x:v>
      </x:c>
      <x:c r="B20" s="285" t="str">
        <x:v>Scenarios</x:v>
      </x:c>
      <x:c r="C20" s="288" t="str">
        <x:v>Base Scenario outputs tie to FY2027 Base Forecast</x:v>
      </x:c>
      <x:c r="D20" s="292" t="n">
        <x:f>ABS('12_SCENARIOS'!B13-'05_INCOME_STATEMENT'!E5)+ABS('12_SCENARIOS'!B14-'05_INCOME_STATEMENT'!E8)+ABS('12_SCENARIOS'!B23-'05_INCOME_STATEMENT'!E19)+ABS('12_SCENARIOS'!B51-'07_CASH_FLOW'!E26)+ABS('12_SCENARIOS'!B52-'09_DEBT'!C9)+ABS('12_SCENARIOS'!B55-'11_KPI_RATIOS'!E13)+ABS('12_SCENARIOS'!B56-'11_KPI_RATIOS'!E14)</x:f>
        <x:v>4.547473508864641e-13</x:v>
      </x:c>
      <x:c r="E20" s="292" t="n">
        <x:v>0.1</x:v>
      </x:c>
      <x:c r="F20" s="290" t="str">
        <x:f>IF(ABS(D20)&lt;=E20,"PASS","FAIL")</x:f>
        <x:v>PASS</x:v>
      </x:c>
      <x:c r="G20" s="288" t="str">
        <x:v>Confirms the Base scenario is consistent with the core FY2027 forecast.</x:v>
      </x:c>
    </x:row>
    <x:row r="21" ht="38" customHeight="1">
      <x:c r="A21" s="296" t="str">
        <x:v>CHK-13</x:v>
      </x:c>
      <x:c r="B21" s="296" t="str">
        <x:v>DCF</x:v>
      </x:c>
      <x:c r="C21" s="297" t="str">
        <x:v>Enterprise Value = PV Explicit FCFF + PV Terminal Value</x:v>
      </x:c>
      <x:c r="D21" s="298" t="n">
        <x:f>ABS('13_DCF_VALUATION'!B37-('13_DCF_VALUATION'!B35+'13_DCF_VALUATION'!B36))</x:f>
        <x:v>0</x:v>
      </x:c>
      <x:c r="E21" s="298" t="n">
        <x:v>0.1</x:v>
      </x:c>
      <x:c r="F21" s="299" t="str">
        <x:f>IF(ABS(D21)&lt;=E21,"PASS","FAIL")</x:f>
        <x:v>PASS</x:v>
      </x:c>
      <x:c r="G21" s="297" t="str">
        <x:v>Checks the core DCF enterprise value bridge.</x:v>
      </x:c>
    </x:row>
    <x:row r="22" ht="38" customHeight="1">
      <x:c r="A22" s="285" t="str">
        <x:v>CHK-14</x:v>
      </x:c>
      <x:c r="B22" s="285" t="str">
        <x:v>DCF</x:v>
      </x:c>
      <x:c r="C22" s="288" t="str">
        <x:v>Equity Value = Enterprise Value - Net Debt</x:v>
      </x:c>
      <x:c r="D22" s="292" t="n">
        <x:f>ABS('13_DCF_VALUATION'!B39-('13_DCF_VALUATION'!B37+'13_DCF_VALUATION'!B38))</x:f>
        <x:v>0</x:v>
      </x:c>
      <x:c r="E22" s="292" t="n">
        <x:v>0.1</x:v>
      </x:c>
      <x:c r="F22" s="290" t="str">
        <x:f>IF(ABS(D22)&lt;=E22,"PASS","FAIL")</x:f>
        <x:v>PASS</x:v>
      </x:c>
      <x:c r="G22" s="288" t="str">
        <x:v>Confirms the enterprise-to-equity value bridge.</x:v>
      </x:c>
    </x:row>
    <x:row r="23" ht="38" customHeight="1">
      <x:c r="A23" s="296" t="str">
        <x:v>CHK-15</x:v>
      </x:c>
      <x:c r="B23" s="296" t="str">
        <x:v>DCF</x:v>
      </x:c>
      <x:c r="C23" s="297" t="str">
        <x:v>Implied Share Price = Equity Value / Diluted Shares</x:v>
      </x:c>
      <x:c r="D23" s="298" t="n">
        <x:f>ABS('13_DCF_VALUATION'!B42-('13_DCF_VALUATION'!B39/'13_DCF_VALUATION'!B40*100))</x:f>
        <x:v>0</x:v>
      </x:c>
      <x:c r="E23" s="298" t="n">
        <x:v>0.1</x:v>
      </x:c>
      <x:c r="F23" s="299" t="str">
        <x:f>IF(ABS(D23)&lt;=E23,"PASS","FAIL")</x:f>
        <x:v>PASS</x:v>
      </x:c>
      <x:c r="G23" s="297" t="str">
        <x:v>Validates the implied value per share calculation in pence.</x:v>
      </x:c>
    </x:row>
    <x:row r="24" ht="38" customHeight="1">
      <x:c r="A24" s="285" t="str">
        <x:v>CHK-16</x:v>
      </x:c>
      <x:c r="B24" s="285" t="str">
        <x:v>Liquidity</x:v>
      </x:c>
      <x:c r="C24" s="288" t="str">
        <x:v>Forecast Ending Cash = Minimum Cash Assumption</x:v>
      </x:c>
      <x:c r="D24" s="292" t="n">
        <x:f>ABS('07_CASH_FLOW'!E26-'04_DRIVERS'!$B$37)+ABS('07_CASH_FLOW'!F26-'04_DRIVERS'!$B$37)+ABS('07_CASH_FLOW'!G26-'04_DRIVERS'!$B$37)+ABS('07_CASH_FLOW'!H26-'04_DRIVERS'!$B$37)+ABS('07_CASH_FLOW'!I26-'04_DRIVERS'!$B$37)</x:f>
        <x:v>1.8189894035458565e-12</x:v>
      </x:c>
      <x:c r="E24" s="292" t="n">
        <x:v>0.1</x:v>
      </x:c>
      <x:c r="F24" s="290" t="str">
        <x:f>IF(ABS(D24)&lt;=E24,"PASS","FAIL")</x:f>
        <x:v>PASS</x:v>
      </x:c>
      <x:c r="G24" s="288" t="str">
        <x:v>Confirms forecast liquidity funding maintains the modelled minimum cash balance.</x:v>
      </x:c>
    </x:row>
  </x:sheetData>
  <x:mergeCells>
    <x:mergeCell ref="A1:G1"/>
    <x:mergeCell ref="A2:G2"/>
  </x:mergeCells>
  <x:conditionalFormatting sqref="F9:F24">
    <x:cfRule type="expression" dxfId="0" priority="1">
      <x:formula>F9="PASS"</x:formula>
    </x:cfRule>
    <x:cfRule type="expression" dxfId="1" priority="2">
      <x:formula>F9="FAIL"</x:formula>
    </x:cfRule>
  </x:conditionalFormatting>
  <x:conditionalFormatting sqref="A5:A5">
    <x:cfRule type="expression" dxfId="2" priority="3">
      <x:formula>A5="PASS"</x:formula>
    </x:cfRule>
    <x:cfRule type="expression" dxfId="3" priority="4">
      <x:formula>A5="FAIL"</x:formula>
    </x:cfRule>
  </x:conditionalFormatting>
  <x:pageMargins left="0.7" right="0.7" top="0.75" bottom="0.75" header="0.3" footer="0.3"/>
</x:worksheet>
</file>